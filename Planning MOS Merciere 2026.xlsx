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07609e2020c9662/Documents/02 - MOS MERCIERE/2026 MOS MERCIERE/Ressources humaines/Planning 2026/"/>
    </mc:Choice>
  </mc:AlternateContent>
  <xr:revisionPtr revIDLastSave="97" documentId="13_ncr:1_{ED888292-D198-4C53-AAE4-E6DC951BE81A}" xr6:coauthVersionLast="47" xr6:coauthVersionMax="47" xr10:uidLastSave="{E70B081D-0D4B-4C80-87A3-AA37477E9BA2}"/>
  <bookViews>
    <workbookView xWindow="-108" yWindow="-108" windowWidth="23256" windowHeight="12456" firstSheet="10" activeTab="20" xr2:uid="{00000000-000D-0000-FFFF-FFFF00000000}"/>
  </bookViews>
  <sheets>
    <sheet name="SE 01" sheetId="1" r:id="rId1"/>
    <sheet name="SE 02" sheetId="2" r:id="rId2"/>
    <sheet name="SE 03" sheetId="3" r:id="rId3"/>
    <sheet name="SE 04" sheetId="5" r:id="rId4"/>
    <sheet name="SE 05" sheetId="4" r:id="rId5"/>
    <sheet name="SE 06" sheetId="6" r:id="rId6"/>
    <sheet name="SE 07" sheetId="7" r:id="rId7"/>
    <sheet name="SE 08" sheetId="8" r:id="rId8"/>
    <sheet name="SE 09" sheetId="9" r:id="rId9"/>
    <sheet name="SE 10" sheetId="10" r:id="rId10"/>
    <sheet name="SE 11" sheetId="11" r:id="rId11"/>
    <sheet name="SE 12" sheetId="12" r:id="rId12"/>
    <sheet name="SE 13" sheetId="13" r:id="rId13"/>
    <sheet name="SE 14" sheetId="14" r:id="rId14"/>
    <sheet name="SE 15" sheetId="15" r:id="rId15"/>
    <sheet name="SE 16" sheetId="16" r:id="rId16"/>
    <sheet name="SE 17" sheetId="17" r:id="rId17"/>
    <sheet name="SE 18" sheetId="18" r:id="rId18"/>
    <sheet name="SE 19" sheetId="19" r:id="rId19"/>
    <sheet name="SE 20" sheetId="20" r:id="rId20"/>
    <sheet name="SE 21" sheetId="21" r:id="rId21"/>
    <sheet name="SE 22" sheetId="23" r:id="rId22"/>
  </sheets>
  <definedNames>
    <definedName name="_xlnm.Print_Area" localSheetId="12">'SE 13'!$A$1:$P$36</definedName>
    <definedName name="_xlnm.Print_Area" localSheetId="16">'SE 17'!$A$1:$P$38</definedName>
  </definedName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3" i="23" l="1"/>
  <c r="L23" i="23"/>
  <c r="J23" i="23"/>
  <c r="H23" i="23"/>
  <c r="F23" i="23"/>
  <c r="D23" i="23"/>
  <c r="B23" i="23"/>
  <c r="AC20" i="23"/>
  <c r="AB20" i="23"/>
  <c r="AA20" i="23"/>
  <c r="Z20" i="23"/>
  <c r="Y20" i="23"/>
  <c r="X20" i="23"/>
  <c r="W20" i="23"/>
  <c r="A20" i="23" a="1"/>
  <c r="A20" i="23" s="1"/>
  <c r="AC19" i="23"/>
  <c r="AB19" i="23"/>
  <c r="AA19" i="23"/>
  <c r="Z19" i="23"/>
  <c r="Y19" i="23"/>
  <c r="X19" i="23"/>
  <c r="W19" i="23"/>
  <c r="P19" i="23"/>
  <c r="AC18" i="23"/>
  <c r="AB18" i="23"/>
  <c r="AA18" i="23"/>
  <c r="Z18" i="23"/>
  <c r="Y18" i="23"/>
  <c r="X18" i="23"/>
  <c r="W18" i="23"/>
  <c r="P18" i="23" s="1"/>
  <c r="AC17" i="23"/>
  <c r="AB17" i="23"/>
  <c r="AA17" i="23"/>
  <c r="Z17" i="23"/>
  <c r="P17" i="23" s="1"/>
  <c r="Y17" i="23"/>
  <c r="X17" i="23"/>
  <c r="W17" i="23"/>
  <c r="AC16" i="23"/>
  <c r="AB16" i="23"/>
  <c r="AA16" i="23"/>
  <c r="Z16" i="23"/>
  <c r="Y16" i="23"/>
  <c r="X16" i="23"/>
  <c r="W16" i="23"/>
  <c r="P16" i="23"/>
  <c r="AC15" i="23"/>
  <c r="AB15" i="23"/>
  <c r="AA15" i="23"/>
  <c r="Z15" i="23"/>
  <c r="Y15" i="23"/>
  <c r="X15" i="23"/>
  <c r="W15" i="23"/>
  <c r="P15" i="23" s="1"/>
  <c r="AC14" i="23"/>
  <c r="AB14" i="23"/>
  <c r="AA14" i="23"/>
  <c r="Z14" i="23"/>
  <c r="Y14" i="23"/>
  <c r="X14" i="23"/>
  <c r="W14" i="23"/>
  <c r="P14" i="23" s="1"/>
  <c r="AC13" i="23"/>
  <c r="AB13" i="23"/>
  <c r="AA13" i="23"/>
  <c r="Z13" i="23"/>
  <c r="Y13" i="23"/>
  <c r="X13" i="23"/>
  <c r="W13" i="23"/>
  <c r="AC12" i="23"/>
  <c r="AB12" i="23"/>
  <c r="AA12" i="23"/>
  <c r="Z12" i="23"/>
  <c r="Y12" i="23"/>
  <c r="X12" i="23"/>
  <c r="W12" i="23"/>
  <c r="P12" i="23"/>
  <c r="AC11" i="23"/>
  <c r="AB11" i="23"/>
  <c r="AA11" i="23"/>
  <c r="Z11" i="23"/>
  <c r="Y11" i="23"/>
  <c r="P11" i="23" s="1"/>
  <c r="X11" i="23"/>
  <c r="W11" i="23"/>
  <c r="AC10" i="23"/>
  <c r="AB10" i="23"/>
  <c r="AA10" i="23"/>
  <c r="Z10" i="23"/>
  <c r="Y10" i="23"/>
  <c r="X10" i="23"/>
  <c r="P10" i="23" s="1"/>
  <c r="W10" i="23"/>
  <c r="AC9" i="23"/>
  <c r="AB9" i="23"/>
  <c r="AA9" i="23"/>
  <c r="Z9" i="23"/>
  <c r="Y9" i="23"/>
  <c r="X9" i="23"/>
  <c r="W9" i="23"/>
  <c r="P9" i="23"/>
  <c r="AC8" i="23"/>
  <c r="AB8" i="23"/>
  <c r="AA8" i="23"/>
  <c r="Z8" i="23"/>
  <c r="Y8" i="23"/>
  <c r="X8" i="23"/>
  <c r="W8" i="23"/>
  <c r="P8" i="23"/>
  <c r="AC7" i="23"/>
  <c r="AB7" i="23"/>
  <c r="AA7" i="23"/>
  <c r="Z7" i="23"/>
  <c r="Y7" i="23"/>
  <c r="X7" i="23"/>
  <c r="W7" i="23"/>
  <c r="P7" i="23" s="1"/>
  <c r="AC6" i="23"/>
  <c r="AB6" i="23"/>
  <c r="AA6" i="23"/>
  <c r="Z6" i="23"/>
  <c r="Y6" i="23"/>
  <c r="X6" i="23"/>
  <c r="W6" i="23"/>
  <c r="P6" i="23"/>
  <c r="AC5" i="23"/>
  <c r="AB5" i="23"/>
  <c r="AA5" i="23"/>
  <c r="Z5" i="23"/>
  <c r="Y5" i="23"/>
  <c r="X5" i="23"/>
  <c r="W5" i="23"/>
  <c r="AC4" i="23"/>
  <c r="AB4" i="23"/>
  <c r="AA4" i="23"/>
  <c r="Z4" i="23"/>
  <c r="Y4" i="23"/>
  <c r="X4" i="23"/>
  <c r="W4" i="23"/>
  <c r="AC3" i="23"/>
  <c r="AB3" i="23"/>
  <c r="AA3" i="23"/>
  <c r="Z3" i="23"/>
  <c r="Y3" i="23"/>
  <c r="X3" i="23"/>
  <c r="W3" i="23"/>
  <c r="B2" i="23"/>
  <c r="B21" i="23" s="1"/>
  <c r="N23" i="21"/>
  <c r="L23" i="21"/>
  <c r="J23" i="21"/>
  <c r="H23" i="21"/>
  <c r="F23" i="21"/>
  <c r="D23" i="21"/>
  <c r="B23" i="21"/>
  <c r="AC20" i="21"/>
  <c r="AB20" i="21"/>
  <c r="AA20" i="21"/>
  <c r="Z20" i="21"/>
  <c r="Y20" i="21"/>
  <c r="X20" i="21"/>
  <c r="W20" i="21"/>
  <c r="A20" i="21" a="1"/>
  <c r="A20" i="21" s="1"/>
  <c r="AC19" i="21"/>
  <c r="AB19" i="21"/>
  <c r="AA19" i="21"/>
  <c r="Z19" i="21"/>
  <c r="Y19" i="21"/>
  <c r="X19" i="21"/>
  <c r="W19" i="21"/>
  <c r="AC18" i="21"/>
  <c r="AB18" i="21"/>
  <c r="AA18" i="21"/>
  <c r="Z18" i="21"/>
  <c r="Y18" i="21"/>
  <c r="X18" i="21"/>
  <c r="W18" i="21"/>
  <c r="AC17" i="21"/>
  <c r="AB17" i="21"/>
  <c r="AA17" i="21"/>
  <c r="Z17" i="21"/>
  <c r="Y17" i="21"/>
  <c r="X17" i="21"/>
  <c r="W17" i="21"/>
  <c r="AC16" i="21"/>
  <c r="AB16" i="21"/>
  <c r="AA16" i="21"/>
  <c r="Z16" i="21"/>
  <c r="Y16" i="21"/>
  <c r="X16" i="21"/>
  <c r="W16" i="21"/>
  <c r="AC15" i="21"/>
  <c r="AB15" i="21"/>
  <c r="AA15" i="21"/>
  <c r="Z15" i="21"/>
  <c r="Y15" i="21"/>
  <c r="X15" i="21"/>
  <c r="W15" i="21"/>
  <c r="AC14" i="21"/>
  <c r="AB14" i="21"/>
  <c r="AA14" i="21"/>
  <c r="Z14" i="21"/>
  <c r="Y14" i="21"/>
  <c r="X14" i="21"/>
  <c r="W14" i="21"/>
  <c r="AC13" i="21"/>
  <c r="AB13" i="21"/>
  <c r="AA13" i="21"/>
  <c r="Z13" i="21"/>
  <c r="Y13" i="21"/>
  <c r="X13" i="21"/>
  <c r="W13" i="21"/>
  <c r="AC12" i="21"/>
  <c r="AB12" i="21"/>
  <c r="AA12" i="21"/>
  <c r="Z12" i="21"/>
  <c r="Y12" i="21"/>
  <c r="X12" i="21"/>
  <c r="W12" i="21"/>
  <c r="AC11" i="21"/>
  <c r="AB11" i="21"/>
  <c r="AA11" i="21"/>
  <c r="Z11" i="21"/>
  <c r="Y11" i="21"/>
  <c r="X11" i="21"/>
  <c r="W11" i="21"/>
  <c r="AC10" i="21"/>
  <c r="AB10" i="21"/>
  <c r="AA10" i="21"/>
  <c r="Z10" i="21"/>
  <c r="Y10" i="21"/>
  <c r="X10" i="21"/>
  <c r="W10" i="21"/>
  <c r="P10" i="21" s="1"/>
  <c r="AC9" i="21"/>
  <c r="AB9" i="21"/>
  <c r="AA9" i="21"/>
  <c r="Z9" i="21"/>
  <c r="Y9" i="21"/>
  <c r="X9" i="21"/>
  <c r="W9" i="21"/>
  <c r="AC8" i="21"/>
  <c r="AB8" i="21"/>
  <c r="AA8" i="21"/>
  <c r="Z8" i="21"/>
  <c r="Y8" i="21"/>
  <c r="X8" i="21"/>
  <c r="W8" i="21"/>
  <c r="AC7" i="21"/>
  <c r="AB7" i="21"/>
  <c r="AA7" i="21"/>
  <c r="Z7" i="21"/>
  <c r="Y7" i="21"/>
  <c r="X7" i="21"/>
  <c r="W7" i="21"/>
  <c r="P7" i="21" s="1"/>
  <c r="AC6" i="21"/>
  <c r="AB6" i="21"/>
  <c r="AA6" i="21"/>
  <c r="Z6" i="21"/>
  <c r="Y6" i="21"/>
  <c r="X6" i="21"/>
  <c r="W6" i="21"/>
  <c r="AC5" i="21"/>
  <c r="AB5" i="21"/>
  <c r="AA5" i="21"/>
  <c r="Z5" i="21"/>
  <c r="Y5" i="21"/>
  <c r="X5" i="21"/>
  <c r="W5" i="21"/>
  <c r="AC4" i="21"/>
  <c r="AB4" i="21"/>
  <c r="AA4" i="21"/>
  <c r="Z4" i="21"/>
  <c r="Y4" i="21"/>
  <c r="X4" i="21"/>
  <c r="W4" i="21"/>
  <c r="AC3" i="21"/>
  <c r="AB3" i="21"/>
  <c r="AA3" i="21"/>
  <c r="Z3" i="21"/>
  <c r="Y3" i="21"/>
  <c r="X3" i="21"/>
  <c r="W3" i="21"/>
  <c r="B2" i="21"/>
  <c r="B21" i="21" s="1"/>
  <c r="B2" i="20"/>
  <c r="B21" i="20" s="1"/>
  <c r="B2" i="18"/>
  <c r="B21" i="18" s="1"/>
  <c r="N23" i="20"/>
  <c r="L23" i="20"/>
  <c r="J23" i="20"/>
  <c r="H23" i="20"/>
  <c r="F23" i="20"/>
  <c r="D23" i="20"/>
  <c r="B23" i="20"/>
  <c r="AC20" i="20"/>
  <c r="AB20" i="20"/>
  <c r="AA20" i="20"/>
  <c r="Z20" i="20"/>
  <c r="Y20" i="20"/>
  <c r="X20" i="20"/>
  <c r="W20" i="20"/>
  <c r="A20" i="20" a="1"/>
  <c r="A20" i="20" s="1"/>
  <c r="AC19" i="20"/>
  <c r="AB19" i="20"/>
  <c r="AA19" i="20"/>
  <c r="Z19" i="20"/>
  <c r="Y19" i="20"/>
  <c r="X19" i="20"/>
  <c r="P19" i="20" s="1"/>
  <c r="W19" i="20"/>
  <c r="AC18" i="20"/>
  <c r="AB18" i="20"/>
  <c r="AA18" i="20"/>
  <c r="Z18" i="20"/>
  <c r="P18" i="20" s="1"/>
  <c r="Y18" i="20"/>
  <c r="X18" i="20"/>
  <c r="W18" i="20"/>
  <c r="AC17" i="20"/>
  <c r="AB17" i="20"/>
  <c r="AA17" i="20"/>
  <c r="Z17" i="20"/>
  <c r="Y17" i="20"/>
  <c r="X17" i="20"/>
  <c r="W17" i="20"/>
  <c r="P17" i="20"/>
  <c r="AC16" i="20"/>
  <c r="AB16" i="20"/>
  <c r="AA16" i="20"/>
  <c r="Z16" i="20"/>
  <c r="Y16" i="20"/>
  <c r="X16" i="20"/>
  <c r="W16" i="20"/>
  <c r="P16" i="20" s="1"/>
  <c r="AC15" i="20"/>
  <c r="AB15" i="20"/>
  <c r="AA15" i="20"/>
  <c r="Z15" i="20"/>
  <c r="Y15" i="20"/>
  <c r="X15" i="20"/>
  <c r="W15" i="20"/>
  <c r="P15" i="20" s="1"/>
  <c r="AC14" i="20"/>
  <c r="AB14" i="20"/>
  <c r="AA14" i="20"/>
  <c r="Z14" i="20"/>
  <c r="Y14" i="20"/>
  <c r="X14" i="20"/>
  <c r="W14" i="20"/>
  <c r="P14" i="20"/>
  <c r="AC13" i="20"/>
  <c r="AB13" i="20"/>
  <c r="AA13" i="20"/>
  <c r="Z13" i="20"/>
  <c r="Y13" i="20"/>
  <c r="X13" i="20"/>
  <c r="W13" i="20"/>
  <c r="AC12" i="20"/>
  <c r="AB12" i="20"/>
  <c r="AA12" i="20"/>
  <c r="Z12" i="20"/>
  <c r="Y12" i="20"/>
  <c r="X12" i="20"/>
  <c r="W12" i="20"/>
  <c r="P12" i="20" s="1"/>
  <c r="AC11" i="20"/>
  <c r="AB11" i="20"/>
  <c r="AA11" i="20"/>
  <c r="Z11" i="20"/>
  <c r="Y11" i="20"/>
  <c r="X11" i="20"/>
  <c r="W11" i="20"/>
  <c r="P11" i="20"/>
  <c r="AC10" i="20"/>
  <c r="AB10" i="20"/>
  <c r="AA10" i="20"/>
  <c r="Z10" i="20"/>
  <c r="Y10" i="20"/>
  <c r="X10" i="20"/>
  <c r="W10" i="20"/>
  <c r="P10" i="20"/>
  <c r="AC9" i="20"/>
  <c r="AB9" i="20"/>
  <c r="AA9" i="20"/>
  <c r="Z9" i="20"/>
  <c r="Y9" i="20"/>
  <c r="X9" i="20"/>
  <c r="W9" i="20"/>
  <c r="P9" i="20" s="1"/>
  <c r="AC8" i="20"/>
  <c r="AB8" i="20"/>
  <c r="AA8" i="20"/>
  <c r="Z8" i="20"/>
  <c r="Y8" i="20"/>
  <c r="X8" i="20"/>
  <c r="W8" i="20"/>
  <c r="P8" i="20"/>
  <c r="AC7" i="20"/>
  <c r="AB7" i="20"/>
  <c r="AA7" i="20"/>
  <c r="Z7" i="20"/>
  <c r="Y7" i="20"/>
  <c r="X7" i="20"/>
  <c r="W7" i="20"/>
  <c r="P7" i="20" s="1"/>
  <c r="AC6" i="20"/>
  <c r="AB6" i="20"/>
  <c r="AA6" i="20"/>
  <c r="Z6" i="20"/>
  <c r="Y6" i="20"/>
  <c r="X6" i="20"/>
  <c r="W6" i="20"/>
  <c r="P6" i="20" s="1"/>
  <c r="AC5" i="20"/>
  <c r="AB5" i="20"/>
  <c r="AA5" i="20"/>
  <c r="Z5" i="20"/>
  <c r="Y5" i="20"/>
  <c r="X5" i="20"/>
  <c r="W5" i="20"/>
  <c r="AC4" i="20"/>
  <c r="AB4" i="20"/>
  <c r="AA4" i="20"/>
  <c r="Z4" i="20"/>
  <c r="Y4" i="20"/>
  <c r="X4" i="20"/>
  <c r="W4" i="20"/>
  <c r="AC3" i="20"/>
  <c r="AB3" i="20"/>
  <c r="AA3" i="20"/>
  <c r="Z3" i="20"/>
  <c r="Y3" i="20"/>
  <c r="X3" i="20"/>
  <c r="W3" i="20"/>
  <c r="N23" i="19"/>
  <c r="L23" i="19"/>
  <c r="J23" i="19"/>
  <c r="H23" i="19"/>
  <c r="F23" i="19"/>
  <c r="D23" i="19"/>
  <c r="B23" i="19"/>
  <c r="AC20" i="19"/>
  <c r="AB20" i="19"/>
  <c r="AA20" i="19"/>
  <c r="Z20" i="19"/>
  <c r="Y20" i="19"/>
  <c r="X20" i="19"/>
  <c r="W20" i="19"/>
  <c r="A20" i="19" a="1"/>
  <c r="A20" i="19" s="1"/>
  <c r="AC19" i="19"/>
  <c r="AB19" i="19"/>
  <c r="AA19" i="19"/>
  <c r="Z19" i="19"/>
  <c r="Y19" i="19"/>
  <c r="X19" i="19"/>
  <c r="W19" i="19"/>
  <c r="AC18" i="19"/>
  <c r="AB18" i="19"/>
  <c r="AA18" i="19"/>
  <c r="Z18" i="19"/>
  <c r="Y18" i="19"/>
  <c r="X18" i="19"/>
  <c r="W18" i="19"/>
  <c r="AC17" i="19"/>
  <c r="AB17" i="19"/>
  <c r="AA17" i="19"/>
  <c r="Z17" i="19"/>
  <c r="Y17" i="19"/>
  <c r="X17" i="19"/>
  <c r="W17" i="19"/>
  <c r="AC16" i="19"/>
  <c r="AB16" i="19"/>
  <c r="AA16" i="19"/>
  <c r="Z16" i="19"/>
  <c r="Y16" i="19"/>
  <c r="X16" i="19"/>
  <c r="W16" i="19"/>
  <c r="AC15" i="19"/>
  <c r="AB15" i="19"/>
  <c r="AA15" i="19"/>
  <c r="Z15" i="19"/>
  <c r="Y15" i="19"/>
  <c r="X15" i="19"/>
  <c r="W15" i="19"/>
  <c r="AC14" i="19"/>
  <c r="AB14" i="19"/>
  <c r="AA14" i="19"/>
  <c r="Z14" i="19"/>
  <c r="Y14" i="19"/>
  <c r="X14" i="19"/>
  <c r="W14" i="19"/>
  <c r="AC13" i="19"/>
  <c r="AB13" i="19"/>
  <c r="AA13" i="19"/>
  <c r="Z13" i="19"/>
  <c r="Y13" i="19"/>
  <c r="X13" i="19"/>
  <c r="W13" i="19"/>
  <c r="AC12" i="19"/>
  <c r="AB12" i="19"/>
  <c r="AA12" i="19"/>
  <c r="Z12" i="19"/>
  <c r="Y12" i="19"/>
  <c r="P12" i="19" s="1"/>
  <c r="X12" i="19"/>
  <c r="W12" i="19"/>
  <c r="AC11" i="19"/>
  <c r="AB11" i="19"/>
  <c r="AA11" i="19"/>
  <c r="Z11" i="19"/>
  <c r="Y11" i="19"/>
  <c r="X11" i="19"/>
  <c r="W11" i="19"/>
  <c r="AC10" i="19"/>
  <c r="AB10" i="19"/>
  <c r="AA10" i="19"/>
  <c r="Z10" i="19"/>
  <c r="Y10" i="19"/>
  <c r="X10" i="19"/>
  <c r="W10" i="19"/>
  <c r="AC9" i="19"/>
  <c r="AB9" i="19"/>
  <c r="AA9" i="19"/>
  <c r="Z9" i="19"/>
  <c r="Y9" i="19"/>
  <c r="X9" i="19"/>
  <c r="W9" i="19"/>
  <c r="AC8" i="19"/>
  <c r="AB8" i="19"/>
  <c r="AA8" i="19"/>
  <c r="Z8" i="19"/>
  <c r="Y8" i="19"/>
  <c r="X8" i="19"/>
  <c r="W8" i="19"/>
  <c r="AC7" i="19"/>
  <c r="AB7" i="19"/>
  <c r="AA7" i="19"/>
  <c r="Z7" i="19"/>
  <c r="Y7" i="19"/>
  <c r="X7" i="19"/>
  <c r="W7" i="19"/>
  <c r="AC6" i="19"/>
  <c r="AB6" i="19"/>
  <c r="AA6" i="19"/>
  <c r="Z6" i="19"/>
  <c r="Y6" i="19"/>
  <c r="X6" i="19"/>
  <c r="W6" i="19"/>
  <c r="AC5" i="19"/>
  <c r="AB5" i="19"/>
  <c r="AA5" i="19"/>
  <c r="Z5" i="19"/>
  <c r="Y5" i="19"/>
  <c r="X5" i="19"/>
  <c r="W5" i="19"/>
  <c r="AC4" i="19"/>
  <c r="AB4" i="19"/>
  <c r="AA4" i="19"/>
  <c r="Z4" i="19"/>
  <c r="Y4" i="19"/>
  <c r="X4" i="19"/>
  <c r="W4" i="19"/>
  <c r="AC3" i="19"/>
  <c r="AB3" i="19"/>
  <c r="AA3" i="19"/>
  <c r="Z3" i="19"/>
  <c r="Y3" i="19"/>
  <c r="X3" i="19"/>
  <c r="W3" i="19"/>
  <c r="B2" i="19"/>
  <c r="B21" i="19" s="1"/>
  <c r="N23" i="18"/>
  <c r="L23" i="18"/>
  <c r="J23" i="18"/>
  <c r="H23" i="18"/>
  <c r="F23" i="18"/>
  <c r="D23" i="18"/>
  <c r="B23" i="18"/>
  <c r="AC20" i="18"/>
  <c r="AB20" i="18"/>
  <c r="AA20" i="18"/>
  <c r="Z20" i="18"/>
  <c r="Y20" i="18"/>
  <c r="X20" i="18"/>
  <c r="W20" i="18"/>
  <c r="A20" i="18" a="1"/>
  <c r="A20" i="18" s="1"/>
  <c r="AC19" i="18"/>
  <c r="AB19" i="18"/>
  <c r="AA19" i="18"/>
  <c r="Z19" i="18"/>
  <c r="Y19" i="18"/>
  <c r="X19" i="18"/>
  <c r="W19" i="18"/>
  <c r="AC18" i="18"/>
  <c r="AB18" i="18"/>
  <c r="AA18" i="18"/>
  <c r="Z18" i="18"/>
  <c r="P18" i="18" s="1"/>
  <c r="Y18" i="18"/>
  <c r="X18" i="18"/>
  <c r="W18" i="18"/>
  <c r="AC17" i="18"/>
  <c r="AB17" i="18"/>
  <c r="AA17" i="18"/>
  <c r="P17" i="18" s="1"/>
  <c r="Z17" i="18"/>
  <c r="Y17" i="18"/>
  <c r="X17" i="18"/>
  <c r="W17" i="18"/>
  <c r="AC16" i="18"/>
  <c r="AB16" i="18"/>
  <c r="AA16" i="18"/>
  <c r="Z16" i="18"/>
  <c r="Y16" i="18"/>
  <c r="X16" i="18"/>
  <c r="W16" i="18"/>
  <c r="P16" i="18" s="1"/>
  <c r="AC15" i="18"/>
  <c r="AB15" i="18"/>
  <c r="AA15" i="18"/>
  <c r="Z15" i="18"/>
  <c r="Y15" i="18"/>
  <c r="X15" i="18"/>
  <c r="W15" i="18"/>
  <c r="P15" i="18"/>
  <c r="AC14" i="18"/>
  <c r="AB14" i="18"/>
  <c r="AA14" i="18"/>
  <c r="P14" i="18" s="1"/>
  <c r="Z14" i="18"/>
  <c r="Y14" i="18"/>
  <c r="X14" i="18"/>
  <c r="W14" i="18"/>
  <c r="AC13" i="18"/>
  <c r="AB13" i="18"/>
  <c r="AA13" i="18"/>
  <c r="Z13" i="18"/>
  <c r="Y13" i="18"/>
  <c r="X13" i="18"/>
  <c r="W13" i="18"/>
  <c r="AC12" i="18"/>
  <c r="AB12" i="18"/>
  <c r="AA12" i="18"/>
  <c r="Z12" i="18"/>
  <c r="Y12" i="18"/>
  <c r="P12" i="18" s="1"/>
  <c r="X12" i="18"/>
  <c r="W12" i="18"/>
  <c r="AC11" i="18"/>
  <c r="AB11" i="18"/>
  <c r="AA11" i="18"/>
  <c r="Z11" i="18"/>
  <c r="Y11" i="18"/>
  <c r="X11" i="18"/>
  <c r="W11" i="18"/>
  <c r="AC10" i="18"/>
  <c r="AB10" i="18"/>
  <c r="AA10" i="18"/>
  <c r="Z10" i="18"/>
  <c r="Y10" i="18"/>
  <c r="X10" i="18"/>
  <c r="W10" i="18"/>
  <c r="AC9" i="18"/>
  <c r="AB9" i="18"/>
  <c r="AA9" i="18"/>
  <c r="Z9" i="18"/>
  <c r="Y9" i="18"/>
  <c r="P9" i="18" s="1"/>
  <c r="X9" i="18"/>
  <c r="W9" i="18"/>
  <c r="AC8" i="18"/>
  <c r="AB8" i="18"/>
  <c r="AA8" i="18"/>
  <c r="Z8" i="18"/>
  <c r="Y8" i="18"/>
  <c r="X8" i="18"/>
  <c r="W8" i="18"/>
  <c r="P8" i="18" s="1"/>
  <c r="AC7" i="18"/>
  <c r="AB7" i="18"/>
  <c r="AA7" i="18"/>
  <c r="Z7" i="18"/>
  <c r="Y7" i="18"/>
  <c r="X7" i="18"/>
  <c r="W7" i="18"/>
  <c r="P7" i="18"/>
  <c r="AC6" i="18"/>
  <c r="AB6" i="18"/>
  <c r="AA6" i="18"/>
  <c r="Z6" i="18"/>
  <c r="Y6" i="18"/>
  <c r="P6" i="18" s="1"/>
  <c r="X6" i="18"/>
  <c r="W6" i="18"/>
  <c r="AC5" i="18"/>
  <c r="AB5" i="18"/>
  <c r="AA5" i="18"/>
  <c r="Z5" i="18"/>
  <c r="Y5" i="18"/>
  <c r="X5" i="18"/>
  <c r="W5" i="18"/>
  <c r="AC4" i="18"/>
  <c r="AB4" i="18"/>
  <c r="AA4" i="18"/>
  <c r="Z4" i="18"/>
  <c r="Y4" i="18"/>
  <c r="X4" i="18"/>
  <c r="W4" i="18"/>
  <c r="AC3" i="18"/>
  <c r="AB3" i="18"/>
  <c r="AA3" i="18"/>
  <c r="Z3" i="18"/>
  <c r="Y3" i="18"/>
  <c r="X3" i="18"/>
  <c r="W3" i="18"/>
  <c r="AC12" i="17"/>
  <c r="AB12" i="17"/>
  <c r="AA12" i="17"/>
  <c r="Z12" i="17"/>
  <c r="Y12" i="17"/>
  <c r="X12" i="17"/>
  <c r="W12" i="17"/>
  <c r="N23" i="17"/>
  <c r="L23" i="17"/>
  <c r="J23" i="17"/>
  <c r="H23" i="17"/>
  <c r="F23" i="17"/>
  <c r="D23" i="17"/>
  <c r="B23" i="17"/>
  <c r="AC20" i="17"/>
  <c r="AB20" i="17"/>
  <c r="AA20" i="17"/>
  <c r="Z20" i="17"/>
  <c r="Y20" i="17"/>
  <c r="X20" i="17"/>
  <c r="W20" i="17"/>
  <c r="A20" i="17" a="1"/>
  <c r="A20" i="17" s="1"/>
  <c r="AC19" i="17"/>
  <c r="AB19" i="17"/>
  <c r="AA19" i="17"/>
  <c r="Z19" i="17"/>
  <c r="Y19" i="17"/>
  <c r="X19" i="17"/>
  <c r="W19" i="17"/>
  <c r="AC18" i="17"/>
  <c r="AB18" i="17"/>
  <c r="AA18" i="17"/>
  <c r="Z18" i="17"/>
  <c r="Y18" i="17"/>
  <c r="X18" i="17"/>
  <c r="P18" i="17" s="1"/>
  <c r="W18" i="17"/>
  <c r="AC17" i="17"/>
  <c r="AB17" i="17"/>
  <c r="AA17" i="17"/>
  <c r="Z17" i="17"/>
  <c r="Y17" i="17"/>
  <c r="X17" i="17"/>
  <c r="W17" i="17"/>
  <c r="AC16" i="17"/>
  <c r="AB16" i="17"/>
  <c r="AA16" i="17"/>
  <c r="Z16" i="17"/>
  <c r="Y16" i="17"/>
  <c r="X16" i="17"/>
  <c r="W16" i="17"/>
  <c r="AC15" i="17"/>
  <c r="AB15" i="17"/>
  <c r="AA15" i="17"/>
  <c r="Z15" i="17"/>
  <c r="Y15" i="17"/>
  <c r="X15" i="17"/>
  <c r="W15" i="17"/>
  <c r="AC14" i="17"/>
  <c r="AB14" i="17"/>
  <c r="AA14" i="17"/>
  <c r="Z14" i="17"/>
  <c r="Y14" i="17"/>
  <c r="X14" i="17"/>
  <c r="W14" i="17"/>
  <c r="AC13" i="17"/>
  <c r="AB13" i="17"/>
  <c r="AA13" i="17"/>
  <c r="Z13" i="17"/>
  <c r="Y13" i="17"/>
  <c r="X13" i="17"/>
  <c r="W13" i="17"/>
  <c r="AC11" i="17"/>
  <c r="AB11" i="17"/>
  <c r="AA11" i="17"/>
  <c r="Z11" i="17"/>
  <c r="Y11" i="17"/>
  <c r="X11" i="17"/>
  <c r="W11" i="17"/>
  <c r="AC10" i="17"/>
  <c r="AB10" i="17"/>
  <c r="AA10" i="17"/>
  <c r="Z10" i="17"/>
  <c r="Y10" i="17"/>
  <c r="X10" i="17"/>
  <c r="W10" i="17"/>
  <c r="AC9" i="17"/>
  <c r="AB9" i="17"/>
  <c r="AA9" i="17"/>
  <c r="Z9" i="17"/>
  <c r="Y9" i="17"/>
  <c r="X9" i="17"/>
  <c r="W9" i="17"/>
  <c r="AC8" i="17"/>
  <c r="AB8" i="17"/>
  <c r="AA8" i="17"/>
  <c r="Z8" i="17"/>
  <c r="Y8" i="17"/>
  <c r="X8" i="17"/>
  <c r="W8" i="17"/>
  <c r="AC7" i="17"/>
  <c r="AB7" i="17"/>
  <c r="AA7" i="17"/>
  <c r="Z7" i="17"/>
  <c r="Y7" i="17"/>
  <c r="X7" i="17"/>
  <c r="W7" i="17"/>
  <c r="AC6" i="17"/>
  <c r="AB6" i="17"/>
  <c r="AA6" i="17"/>
  <c r="Z6" i="17"/>
  <c r="Y6" i="17"/>
  <c r="X6" i="17"/>
  <c r="W6" i="17"/>
  <c r="AC5" i="17"/>
  <c r="AB5" i="17"/>
  <c r="AA5" i="17"/>
  <c r="Z5" i="17"/>
  <c r="Y5" i="17"/>
  <c r="X5" i="17"/>
  <c r="W5" i="17"/>
  <c r="AC4" i="17"/>
  <c r="AB4" i="17"/>
  <c r="AA4" i="17"/>
  <c r="Z4" i="17"/>
  <c r="Y4" i="17"/>
  <c r="X4" i="17"/>
  <c r="W4" i="17"/>
  <c r="AC3" i="17"/>
  <c r="AB3" i="17"/>
  <c r="AA3" i="17"/>
  <c r="Z3" i="17"/>
  <c r="Y3" i="17"/>
  <c r="X3" i="17"/>
  <c r="W3" i="17"/>
  <c r="B2" i="17"/>
  <c r="B21" i="17" s="1"/>
  <c r="X14" i="16"/>
  <c r="N22" i="16"/>
  <c r="L22" i="16"/>
  <c r="J22" i="16"/>
  <c r="H22" i="16"/>
  <c r="F22" i="16"/>
  <c r="D22" i="16"/>
  <c r="B22" i="16"/>
  <c r="AC19" i="16"/>
  <c r="AB19" i="16"/>
  <c r="AA19" i="16"/>
  <c r="Z19" i="16"/>
  <c r="Y19" i="16"/>
  <c r="X19" i="16"/>
  <c r="W19" i="16"/>
  <c r="A19" i="16" a="1"/>
  <c r="A19" i="16" s="1"/>
  <c r="AC18" i="16"/>
  <c r="AB18" i="16"/>
  <c r="AA18" i="16"/>
  <c r="Z18" i="16"/>
  <c r="Y18" i="16"/>
  <c r="X18" i="16"/>
  <c r="W18" i="16"/>
  <c r="P18" i="16" s="1"/>
  <c r="AC17" i="16"/>
  <c r="AB17" i="16"/>
  <c r="AA17" i="16"/>
  <c r="Z17" i="16"/>
  <c r="P17" i="16" s="1"/>
  <c r="Y17" i="16"/>
  <c r="X17" i="16"/>
  <c r="W17" i="16"/>
  <c r="AC16" i="16"/>
  <c r="AB16" i="16"/>
  <c r="AA16" i="16"/>
  <c r="Z16" i="16"/>
  <c r="Y16" i="16"/>
  <c r="X16" i="16"/>
  <c r="W16" i="16"/>
  <c r="AC15" i="16"/>
  <c r="AB15" i="16"/>
  <c r="AA15" i="16"/>
  <c r="Z15" i="16"/>
  <c r="Y15" i="16"/>
  <c r="X15" i="16"/>
  <c r="W15" i="16"/>
  <c r="P15" i="16" s="1"/>
  <c r="AC14" i="16"/>
  <c r="AB14" i="16"/>
  <c r="AA14" i="16"/>
  <c r="Z14" i="16"/>
  <c r="Y14" i="16"/>
  <c r="W14" i="16"/>
  <c r="AC13" i="16"/>
  <c r="AB13" i="16"/>
  <c r="AA13" i="16"/>
  <c r="Z13" i="16"/>
  <c r="Y13" i="16"/>
  <c r="X13" i="16"/>
  <c r="W13" i="16"/>
  <c r="AC12" i="16"/>
  <c r="AB12" i="16"/>
  <c r="AA12" i="16"/>
  <c r="Z12" i="16"/>
  <c r="Y12" i="16"/>
  <c r="X12" i="16"/>
  <c r="W12" i="16"/>
  <c r="AC11" i="16"/>
  <c r="AB11" i="16"/>
  <c r="AA11" i="16"/>
  <c r="Z11" i="16"/>
  <c r="Y11" i="16"/>
  <c r="X11" i="16"/>
  <c r="P11" i="16" s="1"/>
  <c r="W11" i="16"/>
  <c r="AC10" i="16"/>
  <c r="AB10" i="16"/>
  <c r="AA10" i="16"/>
  <c r="Z10" i="16"/>
  <c r="Y10" i="16"/>
  <c r="X10" i="16"/>
  <c r="W10" i="16"/>
  <c r="AC9" i="16"/>
  <c r="AB9" i="16"/>
  <c r="AA9" i="16"/>
  <c r="Z9" i="16"/>
  <c r="Y9" i="16"/>
  <c r="X9" i="16"/>
  <c r="W9" i="16"/>
  <c r="AC8" i="16"/>
  <c r="AB8" i="16"/>
  <c r="AA8" i="16"/>
  <c r="Z8" i="16"/>
  <c r="Y8" i="16"/>
  <c r="X8" i="16"/>
  <c r="W8" i="16"/>
  <c r="AC7" i="16"/>
  <c r="AB7" i="16"/>
  <c r="AA7" i="16"/>
  <c r="Z7" i="16"/>
  <c r="Y7" i="16"/>
  <c r="X7" i="16"/>
  <c r="W7" i="16"/>
  <c r="AC6" i="16"/>
  <c r="AB6" i="16"/>
  <c r="AA6" i="16"/>
  <c r="Z6" i="16"/>
  <c r="Y6" i="16"/>
  <c r="X6" i="16"/>
  <c r="W6" i="16"/>
  <c r="AC5" i="16"/>
  <c r="AB5" i="16"/>
  <c r="AA5" i="16"/>
  <c r="Z5" i="16"/>
  <c r="Y5" i="16"/>
  <c r="X5" i="16"/>
  <c r="W5" i="16"/>
  <c r="AC4" i="16"/>
  <c r="AB4" i="16"/>
  <c r="AA4" i="16"/>
  <c r="Z4" i="16"/>
  <c r="Y4" i="16"/>
  <c r="X4" i="16"/>
  <c r="W4" i="16"/>
  <c r="AC3" i="16"/>
  <c r="AB3" i="16"/>
  <c r="AA3" i="16"/>
  <c r="Z3" i="16"/>
  <c r="Y3" i="16"/>
  <c r="X3" i="16"/>
  <c r="W3" i="16"/>
  <c r="B2" i="16"/>
  <c r="B20" i="16" s="1"/>
  <c r="AD30" i="15"/>
  <c r="N22" i="15"/>
  <c r="L22" i="15"/>
  <c r="J22" i="15"/>
  <c r="H22" i="15"/>
  <c r="F22" i="15"/>
  <c r="D22" i="15"/>
  <c r="B22" i="15"/>
  <c r="AC19" i="15"/>
  <c r="AB19" i="15"/>
  <c r="AA19" i="15"/>
  <c r="Z19" i="15"/>
  <c r="Y19" i="15"/>
  <c r="X19" i="15"/>
  <c r="W19" i="15"/>
  <c r="A19" i="15" a="1"/>
  <c r="A19" i="15" s="1"/>
  <c r="AC18" i="15"/>
  <c r="AB18" i="15"/>
  <c r="AA18" i="15"/>
  <c r="Z18" i="15"/>
  <c r="Y18" i="15"/>
  <c r="X18" i="15"/>
  <c r="W18" i="15"/>
  <c r="P18" i="15"/>
  <c r="AC17" i="15"/>
  <c r="AB17" i="15"/>
  <c r="AA17" i="15"/>
  <c r="Z17" i="15"/>
  <c r="Y17" i="15"/>
  <c r="X17" i="15"/>
  <c r="W17" i="15"/>
  <c r="P17" i="15" s="1"/>
  <c r="AC16" i="15"/>
  <c r="AB16" i="15"/>
  <c r="AA16" i="15"/>
  <c r="Z16" i="15"/>
  <c r="Y16" i="15"/>
  <c r="X16" i="15"/>
  <c r="P16" i="15" s="1"/>
  <c r="W16" i="15"/>
  <c r="AC15" i="15"/>
  <c r="AB15" i="15"/>
  <c r="AA15" i="15"/>
  <c r="Z15" i="15"/>
  <c r="Y15" i="15"/>
  <c r="X15" i="15"/>
  <c r="W15" i="15"/>
  <c r="AC14" i="15"/>
  <c r="AB14" i="15"/>
  <c r="AA14" i="15"/>
  <c r="Z14" i="15"/>
  <c r="Y14" i="15"/>
  <c r="X14" i="15"/>
  <c r="W14" i="15"/>
  <c r="P14" i="15" s="1"/>
  <c r="AC13" i="15"/>
  <c r="AB13" i="15"/>
  <c r="AA13" i="15"/>
  <c r="Z13" i="15"/>
  <c r="Y13" i="15"/>
  <c r="X13" i="15"/>
  <c r="W13" i="15"/>
  <c r="P13" i="15"/>
  <c r="AC12" i="15"/>
  <c r="AB12" i="15"/>
  <c r="AA12" i="15"/>
  <c r="Z12" i="15"/>
  <c r="Y12" i="15"/>
  <c r="X12" i="15"/>
  <c r="W12" i="15"/>
  <c r="AC11" i="15"/>
  <c r="AB11" i="15"/>
  <c r="AA11" i="15"/>
  <c r="Z11" i="15"/>
  <c r="Y11" i="15"/>
  <c r="X11" i="15"/>
  <c r="P11" i="15" s="1"/>
  <c r="W11" i="15"/>
  <c r="AC10" i="15"/>
  <c r="AB10" i="15"/>
  <c r="AA10" i="15"/>
  <c r="Z10" i="15"/>
  <c r="Y10" i="15"/>
  <c r="X10" i="15"/>
  <c r="W10" i="15"/>
  <c r="P10" i="15"/>
  <c r="AC9" i="15"/>
  <c r="AB9" i="15"/>
  <c r="AA9" i="15"/>
  <c r="Z9" i="15"/>
  <c r="Y9" i="15"/>
  <c r="X9" i="15"/>
  <c r="W9" i="15"/>
  <c r="P9" i="15"/>
  <c r="AC8" i="15"/>
  <c r="AB8" i="15"/>
  <c r="AA8" i="15"/>
  <c r="Z8" i="15"/>
  <c r="Y8" i="15"/>
  <c r="X8" i="15"/>
  <c r="W8" i="15"/>
  <c r="P8" i="15"/>
  <c r="AC7" i="15"/>
  <c r="AB7" i="15"/>
  <c r="AA7" i="15"/>
  <c r="Z7" i="15"/>
  <c r="Y7" i="15"/>
  <c r="X7" i="15"/>
  <c r="W7" i="15"/>
  <c r="P7" i="15" s="1"/>
  <c r="AC6" i="15"/>
  <c r="AB6" i="15"/>
  <c r="AA6" i="15"/>
  <c r="Z6" i="15"/>
  <c r="Y6" i="15"/>
  <c r="X6" i="15"/>
  <c r="W6" i="15"/>
  <c r="P6" i="15" s="1"/>
  <c r="AC5" i="15"/>
  <c r="AB5" i="15"/>
  <c r="AA5" i="15"/>
  <c r="Z5" i="15"/>
  <c r="Y5" i="15"/>
  <c r="X5" i="15"/>
  <c r="W5" i="15"/>
  <c r="AC4" i="15"/>
  <c r="AB4" i="15"/>
  <c r="AA4" i="15"/>
  <c r="Z4" i="15"/>
  <c r="Y4" i="15"/>
  <c r="X4" i="15"/>
  <c r="W4" i="15"/>
  <c r="AC3" i="15"/>
  <c r="AB3" i="15"/>
  <c r="AA3" i="15"/>
  <c r="Z3" i="15"/>
  <c r="Y3" i="15"/>
  <c r="X3" i="15"/>
  <c r="W3" i="15"/>
  <c r="B2" i="15"/>
  <c r="B20" i="15" s="1"/>
  <c r="D22" i="14"/>
  <c r="F22" i="14"/>
  <c r="H22" i="14"/>
  <c r="J22" i="14"/>
  <c r="L22" i="14"/>
  <c r="N22" i="14"/>
  <c r="B2" i="14"/>
  <c r="B20" i="14" s="1"/>
  <c r="A19" i="14" a="1"/>
  <c r="A19" i="14" s="1"/>
  <c r="W3" i="14"/>
  <c r="X3" i="14"/>
  <c r="Y3" i="14"/>
  <c r="Z3" i="14"/>
  <c r="AA3" i="14"/>
  <c r="AB3" i="14"/>
  <c r="AC3" i="14"/>
  <c r="X4" i="14"/>
  <c r="Y4" i="14"/>
  <c r="Z4" i="14"/>
  <c r="AA4" i="14"/>
  <c r="AB4" i="14"/>
  <c r="AC4" i="14"/>
  <c r="W5" i="14"/>
  <c r="X5" i="14"/>
  <c r="Y5" i="14"/>
  <c r="Z5" i="14"/>
  <c r="AA5" i="14"/>
  <c r="AB5" i="14"/>
  <c r="AC5" i="14"/>
  <c r="W6" i="14"/>
  <c r="X6" i="14"/>
  <c r="Y6" i="14"/>
  <c r="P6" i="14" s="1"/>
  <c r="Z6" i="14"/>
  <c r="AA6" i="14"/>
  <c r="AB6" i="14"/>
  <c r="AC6" i="14"/>
  <c r="W7" i="14"/>
  <c r="P7" i="14" s="1"/>
  <c r="X7" i="14"/>
  <c r="Y7" i="14"/>
  <c r="Z7" i="14"/>
  <c r="AA7" i="14"/>
  <c r="AB7" i="14"/>
  <c r="AC7" i="14"/>
  <c r="W8" i="14"/>
  <c r="P8" i="14" s="1"/>
  <c r="X8" i="14"/>
  <c r="Y8" i="14"/>
  <c r="Z8" i="14"/>
  <c r="AA8" i="14"/>
  <c r="AB8" i="14"/>
  <c r="AC8" i="14"/>
  <c r="W9" i="14"/>
  <c r="X9" i="14"/>
  <c r="Y9" i="14"/>
  <c r="P9" i="14" s="1"/>
  <c r="Z9" i="14"/>
  <c r="AA9" i="14"/>
  <c r="AB9" i="14"/>
  <c r="AC9" i="14"/>
  <c r="W10" i="14"/>
  <c r="P10" i="14" s="1"/>
  <c r="X10" i="14"/>
  <c r="Y10" i="14"/>
  <c r="Z10" i="14"/>
  <c r="AA10" i="14"/>
  <c r="AB10" i="14"/>
  <c r="AC10" i="14"/>
  <c r="W11" i="14"/>
  <c r="X11" i="14"/>
  <c r="P11" i="14" s="1"/>
  <c r="Y11" i="14"/>
  <c r="Z11" i="14"/>
  <c r="AA11" i="14"/>
  <c r="AB11" i="14"/>
  <c r="AC11" i="14"/>
  <c r="W12" i="14"/>
  <c r="X12" i="14"/>
  <c r="Y12" i="14"/>
  <c r="Z12" i="14"/>
  <c r="AA12" i="14"/>
  <c r="AB12" i="14"/>
  <c r="AC12" i="14"/>
  <c r="W13" i="14"/>
  <c r="X13" i="14"/>
  <c r="Y13" i="14"/>
  <c r="Z13" i="14"/>
  <c r="P13" i="14" s="1"/>
  <c r="AA13" i="14"/>
  <c r="AB13" i="14"/>
  <c r="AC13" i="14"/>
  <c r="W14" i="14"/>
  <c r="P14" i="14" s="1"/>
  <c r="X14" i="14"/>
  <c r="Y14" i="14"/>
  <c r="Z14" i="14"/>
  <c r="AA14" i="14"/>
  <c r="AB14" i="14"/>
  <c r="AC14" i="14"/>
  <c r="W15" i="14"/>
  <c r="X15" i="14"/>
  <c r="Y15" i="14"/>
  <c r="Z15" i="14"/>
  <c r="AA15" i="14"/>
  <c r="AB15" i="14"/>
  <c r="AC15" i="14"/>
  <c r="P15" i="14" s="1"/>
  <c r="W16" i="14"/>
  <c r="X16" i="14"/>
  <c r="Y16" i="14"/>
  <c r="Z16" i="14"/>
  <c r="P16" i="14" s="1"/>
  <c r="AA16" i="14"/>
  <c r="AB16" i="14"/>
  <c r="AC16" i="14"/>
  <c r="W17" i="14"/>
  <c r="P17" i="14" s="1"/>
  <c r="X17" i="14"/>
  <c r="Y17" i="14"/>
  <c r="Z17" i="14"/>
  <c r="AA17" i="14"/>
  <c r="AB17" i="14"/>
  <c r="AC17" i="14"/>
  <c r="P18" i="14"/>
  <c r="W18" i="14"/>
  <c r="X18" i="14"/>
  <c r="Y18" i="14"/>
  <c r="Z18" i="14"/>
  <c r="AA18" i="14"/>
  <c r="AB18" i="14"/>
  <c r="AC18" i="14"/>
  <c r="W19" i="14"/>
  <c r="X19" i="14"/>
  <c r="Y19" i="14"/>
  <c r="Z19" i="14"/>
  <c r="AA19" i="14"/>
  <c r="AB19" i="14"/>
  <c r="AC19" i="14"/>
  <c r="AD30" i="14"/>
  <c r="A19" i="13" a="1"/>
  <c r="A19" i="13" s="1"/>
  <c r="W3" i="13"/>
  <c r="X3" i="13"/>
  <c r="Y3" i="13"/>
  <c r="Z3" i="13"/>
  <c r="AA3" i="13"/>
  <c r="AB3" i="13"/>
  <c r="AC3" i="13"/>
  <c r="W4" i="13"/>
  <c r="X4" i="13"/>
  <c r="Y4" i="13"/>
  <c r="Z4" i="13"/>
  <c r="AA4" i="13"/>
  <c r="AB4" i="13"/>
  <c r="AC4" i="13"/>
  <c r="W5" i="13"/>
  <c r="X5" i="13"/>
  <c r="Y5" i="13"/>
  <c r="Z5" i="13"/>
  <c r="AA5" i="13"/>
  <c r="AB5" i="13"/>
  <c r="AC5" i="13"/>
  <c r="W6" i="13"/>
  <c r="P6" i="13" s="1"/>
  <c r="X6" i="13"/>
  <c r="Y6" i="13"/>
  <c r="Z6" i="13"/>
  <c r="AA6" i="13"/>
  <c r="AB6" i="13"/>
  <c r="AC6" i="13"/>
  <c r="W7" i="13"/>
  <c r="P7" i="13" s="1"/>
  <c r="X7" i="13"/>
  <c r="Y7" i="13"/>
  <c r="Z7" i="13"/>
  <c r="AA7" i="13"/>
  <c r="AB7" i="13"/>
  <c r="AC7" i="13"/>
  <c r="W8" i="13"/>
  <c r="X8" i="13"/>
  <c r="P8" i="13" s="1"/>
  <c r="Y8" i="13"/>
  <c r="Z8" i="13"/>
  <c r="AA8" i="13"/>
  <c r="AB8" i="13"/>
  <c r="AC8" i="13"/>
  <c r="W9" i="13"/>
  <c r="P9" i="13" s="1"/>
  <c r="X9" i="13"/>
  <c r="Y9" i="13"/>
  <c r="Z9" i="13"/>
  <c r="AA9" i="13"/>
  <c r="AB9" i="13"/>
  <c r="AC9" i="13"/>
  <c r="W10" i="13"/>
  <c r="P10" i="13" s="1"/>
  <c r="X10" i="13"/>
  <c r="Y10" i="13"/>
  <c r="Z10" i="13"/>
  <c r="AA10" i="13"/>
  <c r="AB10" i="13"/>
  <c r="AC10" i="13"/>
  <c r="W11" i="13"/>
  <c r="X11" i="13"/>
  <c r="P11" i="13" s="1"/>
  <c r="Y11" i="13"/>
  <c r="Z11" i="13"/>
  <c r="AA11" i="13"/>
  <c r="AB11" i="13"/>
  <c r="AC11" i="13"/>
  <c r="W12" i="13"/>
  <c r="X12" i="13"/>
  <c r="Y12" i="13"/>
  <c r="Z12" i="13"/>
  <c r="AA12" i="13"/>
  <c r="AB12" i="13"/>
  <c r="AC12" i="13"/>
  <c r="W13" i="13"/>
  <c r="X13" i="13"/>
  <c r="Y13" i="13"/>
  <c r="Z13" i="13"/>
  <c r="P13" i="13" s="1"/>
  <c r="AA13" i="13"/>
  <c r="AB13" i="13"/>
  <c r="AC13" i="13"/>
  <c r="W14" i="13"/>
  <c r="X14" i="13"/>
  <c r="Y14" i="13"/>
  <c r="P14" i="13" s="1"/>
  <c r="Z14" i="13"/>
  <c r="AA14" i="13"/>
  <c r="AB14" i="13"/>
  <c r="AC14" i="13"/>
  <c r="P15" i="13"/>
  <c r="W15" i="13"/>
  <c r="X15" i="13"/>
  <c r="Y15" i="13"/>
  <c r="Z15" i="13"/>
  <c r="AA15" i="13"/>
  <c r="AB15" i="13"/>
  <c r="AC15" i="13"/>
  <c r="W16" i="13"/>
  <c r="X16" i="13"/>
  <c r="Y16" i="13"/>
  <c r="Z16" i="13"/>
  <c r="P16" i="13" s="1"/>
  <c r="AA16" i="13"/>
  <c r="AB16" i="13"/>
  <c r="AC16" i="13"/>
  <c r="W17" i="13"/>
  <c r="X17" i="13"/>
  <c r="Y17" i="13"/>
  <c r="P17" i="13" s="1"/>
  <c r="Z17" i="13"/>
  <c r="AA17" i="13"/>
  <c r="AB17" i="13"/>
  <c r="AC17" i="13"/>
  <c r="P18" i="13"/>
  <c r="W18" i="13"/>
  <c r="X18" i="13"/>
  <c r="Y18" i="13"/>
  <c r="Z18" i="13"/>
  <c r="AA18" i="13"/>
  <c r="AB18" i="13"/>
  <c r="AC18" i="13"/>
  <c r="W19" i="13"/>
  <c r="X19" i="13"/>
  <c r="Y19" i="13"/>
  <c r="Z19" i="13"/>
  <c r="AA19" i="13"/>
  <c r="AB19" i="13"/>
  <c r="AC19" i="13"/>
  <c r="B20" i="13"/>
  <c r="B22" i="13"/>
  <c r="D22" i="13"/>
  <c r="F22" i="13"/>
  <c r="H22" i="13"/>
  <c r="J22" i="13"/>
  <c r="L22" i="13"/>
  <c r="N22" i="13"/>
  <c r="AD30" i="13"/>
  <c r="D23" i="12"/>
  <c r="F23" i="12"/>
  <c r="H23" i="12"/>
  <c r="J23" i="12"/>
  <c r="L23" i="12"/>
  <c r="N23" i="12"/>
  <c r="B23" i="12"/>
  <c r="B21" i="12"/>
  <c r="AD32" i="12"/>
  <c r="AC20" i="12"/>
  <c r="AB20" i="12"/>
  <c r="AA20" i="12"/>
  <c r="Z20" i="12"/>
  <c r="Y20" i="12"/>
  <c r="X20" i="12"/>
  <c r="W20" i="12"/>
  <c r="A20" i="12" a="1"/>
  <c r="A20" i="12" s="1"/>
  <c r="AC19" i="12"/>
  <c r="AB19" i="12"/>
  <c r="AA19" i="12"/>
  <c r="Z19" i="12"/>
  <c r="Y19" i="12"/>
  <c r="X19" i="12"/>
  <c r="W19" i="12"/>
  <c r="P19" i="12" s="1"/>
  <c r="AC18" i="12"/>
  <c r="AB18" i="12"/>
  <c r="AA18" i="12"/>
  <c r="Z18" i="12"/>
  <c r="Y18" i="12"/>
  <c r="X18" i="12"/>
  <c r="W18" i="12"/>
  <c r="P18" i="12" s="1"/>
  <c r="AC17" i="12"/>
  <c r="AB17" i="12"/>
  <c r="AA17" i="12"/>
  <c r="Z17" i="12"/>
  <c r="Y17" i="12"/>
  <c r="X17" i="12"/>
  <c r="W17" i="12"/>
  <c r="P17" i="12"/>
  <c r="AC16" i="12"/>
  <c r="AB16" i="12"/>
  <c r="AA16" i="12"/>
  <c r="Z16" i="12"/>
  <c r="Y16" i="12"/>
  <c r="X16" i="12"/>
  <c r="W16" i="12"/>
  <c r="P16" i="12" s="1"/>
  <c r="AC15" i="12"/>
  <c r="AB15" i="12"/>
  <c r="AA15" i="12"/>
  <c r="Z15" i="12"/>
  <c r="Y15" i="12"/>
  <c r="X15" i="12"/>
  <c r="W15" i="12"/>
  <c r="P15" i="12"/>
  <c r="AC14" i="12"/>
  <c r="AB14" i="12"/>
  <c r="AA14" i="12"/>
  <c r="Z14" i="12"/>
  <c r="Y14" i="12"/>
  <c r="X14" i="12"/>
  <c r="W14" i="12"/>
  <c r="P14" i="12"/>
  <c r="AC13" i="12"/>
  <c r="AB13" i="12"/>
  <c r="AA13" i="12"/>
  <c r="Z13" i="12"/>
  <c r="Y13" i="12"/>
  <c r="X13" i="12"/>
  <c r="W13" i="12"/>
  <c r="AC12" i="12"/>
  <c r="AB12" i="12"/>
  <c r="AA12" i="12"/>
  <c r="Z12" i="12"/>
  <c r="Y12" i="12"/>
  <c r="X12" i="12"/>
  <c r="W12" i="12"/>
  <c r="P12" i="12"/>
  <c r="AC11" i="12"/>
  <c r="AB11" i="12"/>
  <c r="AA11" i="12"/>
  <c r="Z11" i="12"/>
  <c r="Y11" i="12"/>
  <c r="X11" i="12"/>
  <c r="W11" i="12"/>
  <c r="P11" i="12"/>
  <c r="AC10" i="12"/>
  <c r="AB10" i="12"/>
  <c r="AA10" i="12"/>
  <c r="Z10" i="12"/>
  <c r="Y10" i="12"/>
  <c r="X10" i="12"/>
  <c r="W10" i="12"/>
  <c r="P10" i="12"/>
  <c r="AC9" i="12"/>
  <c r="AB9" i="12"/>
  <c r="AA9" i="12"/>
  <c r="Z9" i="12"/>
  <c r="Y9" i="12"/>
  <c r="P9" i="12" s="1"/>
  <c r="X9" i="12"/>
  <c r="W9" i="12"/>
  <c r="AC8" i="12"/>
  <c r="AB8" i="12"/>
  <c r="AA8" i="12"/>
  <c r="Z8" i="12"/>
  <c r="Y8" i="12"/>
  <c r="X8" i="12"/>
  <c r="W8" i="12"/>
  <c r="P8" i="12"/>
  <c r="AC7" i="12"/>
  <c r="AB7" i="12"/>
  <c r="AA7" i="12"/>
  <c r="Z7" i="12"/>
  <c r="Y7" i="12"/>
  <c r="X7" i="12"/>
  <c r="W7" i="12"/>
  <c r="P7" i="12"/>
  <c r="AC6" i="12"/>
  <c r="AB6" i="12"/>
  <c r="AA6" i="12"/>
  <c r="Z6" i="12"/>
  <c r="Y6" i="12"/>
  <c r="X6" i="12"/>
  <c r="W6" i="12"/>
  <c r="P6" i="12"/>
  <c r="AC5" i="12"/>
  <c r="AB5" i="12"/>
  <c r="AA5" i="12"/>
  <c r="Z5" i="12"/>
  <c r="Y5" i="12"/>
  <c r="X5" i="12"/>
  <c r="W5" i="12"/>
  <c r="AC4" i="12"/>
  <c r="AB4" i="12"/>
  <c r="AA4" i="12"/>
  <c r="Z4" i="12"/>
  <c r="Y4" i="12"/>
  <c r="X4" i="12"/>
  <c r="W4" i="12"/>
  <c r="AC3" i="12"/>
  <c r="AB3" i="12"/>
  <c r="AA3" i="12"/>
  <c r="Z3" i="12"/>
  <c r="Y3" i="12"/>
  <c r="X3" i="12"/>
  <c r="W3" i="12"/>
  <c r="AD32" i="11"/>
  <c r="AC11" i="11"/>
  <c r="AB11" i="11"/>
  <c r="AA11" i="11"/>
  <c r="Z11" i="11"/>
  <c r="Y11" i="11"/>
  <c r="X11" i="11"/>
  <c r="W11" i="11"/>
  <c r="AC20" i="11"/>
  <c r="AB20" i="11"/>
  <c r="AA20" i="11"/>
  <c r="Z20" i="11"/>
  <c r="Y20" i="11"/>
  <c r="X20" i="11"/>
  <c r="W20" i="11"/>
  <c r="A20" i="11" a="1"/>
  <c r="A20" i="11" s="1"/>
  <c r="AC19" i="11"/>
  <c r="AB19" i="11"/>
  <c r="AA19" i="11"/>
  <c r="Z19" i="11"/>
  <c r="Y19" i="11"/>
  <c r="X19" i="11"/>
  <c r="W19" i="11"/>
  <c r="AC18" i="11"/>
  <c r="AB18" i="11"/>
  <c r="AA18" i="11"/>
  <c r="Z18" i="11"/>
  <c r="Y18" i="11"/>
  <c r="X18" i="11"/>
  <c r="W18" i="11"/>
  <c r="AC17" i="11"/>
  <c r="AB17" i="11"/>
  <c r="AA17" i="11"/>
  <c r="Z17" i="11"/>
  <c r="Y17" i="11"/>
  <c r="X17" i="11"/>
  <c r="W17" i="11"/>
  <c r="P17" i="11"/>
  <c r="AC16" i="11"/>
  <c r="AB16" i="11"/>
  <c r="AA16" i="11"/>
  <c r="Z16" i="11"/>
  <c r="Y16" i="11"/>
  <c r="X16" i="11"/>
  <c r="W16" i="11"/>
  <c r="AC15" i="11"/>
  <c r="AB15" i="11"/>
  <c r="AA15" i="11"/>
  <c r="Z15" i="11"/>
  <c r="Y15" i="11"/>
  <c r="X15" i="11"/>
  <c r="W15" i="11"/>
  <c r="P15" i="11" s="1"/>
  <c r="AC14" i="11"/>
  <c r="AB14" i="11"/>
  <c r="AA14" i="11"/>
  <c r="Z14" i="11"/>
  <c r="Y14" i="11"/>
  <c r="X14" i="11"/>
  <c r="W14" i="11"/>
  <c r="AC13" i="11"/>
  <c r="AB13" i="11"/>
  <c r="AA13" i="11"/>
  <c r="Z13" i="11"/>
  <c r="Y13" i="11"/>
  <c r="X13" i="11"/>
  <c r="W13" i="11"/>
  <c r="AC12" i="11"/>
  <c r="AB12" i="11"/>
  <c r="AA12" i="11"/>
  <c r="Z12" i="11"/>
  <c r="Y12" i="11"/>
  <c r="X12" i="11"/>
  <c r="W12" i="11"/>
  <c r="P12" i="11" s="1"/>
  <c r="AC10" i="11"/>
  <c r="AB10" i="11"/>
  <c r="AA10" i="11"/>
  <c r="Z10" i="11"/>
  <c r="Y10" i="11"/>
  <c r="X10" i="11"/>
  <c r="W10" i="11"/>
  <c r="AC9" i="11"/>
  <c r="AB9" i="11"/>
  <c r="AA9" i="11"/>
  <c r="Z9" i="11"/>
  <c r="Y9" i="11"/>
  <c r="X9" i="11"/>
  <c r="W9" i="11"/>
  <c r="AC8" i="11"/>
  <c r="P8" i="11" s="1"/>
  <c r="AB8" i="11"/>
  <c r="AA8" i="11"/>
  <c r="Z8" i="11"/>
  <c r="Y8" i="11"/>
  <c r="X8" i="11"/>
  <c r="W8" i="11"/>
  <c r="AC7" i="11"/>
  <c r="AB7" i="11"/>
  <c r="AA7" i="11"/>
  <c r="Z7" i="11"/>
  <c r="Y7" i="11"/>
  <c r="X7" i="11"/>
  <c r="W7" i="11"/>
  <c r="P7" i="11"/>
  <c r="AC6" i="11"/>
  <c r="AB6" i="11"/>
  <c r="AA6" i="11"/>
  <c r="Z6" i="11"/>
  <c r="Y6" i="11"/>
  <c r="X6" i="11"/>
  <c r="W6" i="11"/>
  <c r="AC5" i="11"/>
  <c r="AB5" i="11"/>
  <c r="AA5" i="11"/>
  <c r="Z5" i="11"/>
  <c r="Y5" i="11"/>
  <c r="X5" i="11"/>
  <c r="W5" i="11"/>
  <c r="AC4" i="11"/>
  <c r="AB4" i="11"/>
  <c r="AA4" i="11"/>
  <c r="Z4" i="11"/>
  <c r="Y4" i="11"/>
  <c r="X4" i="11"/>
  <c r="W4" i="11"/>
  <c r="AC3" i="11"/>
  <c r="AB3" i="11"/>
  <c r="AA3" i="11"/>
  <c r="Z3" i="11"/>
  <c r="Y3" i="11"/>
  <c r="X3" i="11"/>
  <c r="W3" i="11"/>
  <c r="AC9" i="10"/>
  <c r="AB9" i="10"/>
  <c r="AA9" i="10"/>
  <c r="Z9" i="10"/>
  <c r="Y9" i="10"/>
  <c r="X9" i="10"/>
  <c r="W9" i="10"/>
  <c r="AC19" i="10"/>
  <c r="AB19" i="10"/>
  <c r="AA19" i="10"/>
  <c r="Z19" i="10"/>
  <c r="Y19" i="10"/>
  <c r="X19" i="10"/>
  <c r="W19" i="10"/>
  <c r="A19" i="10" a="1"/>
  <c r="A19" i="10" s="1"/>
  <c r="AC18" i="10"/>
  <c r="AB18" i="10"/>
  <c r="AA18" i="10"/>
  <c r="Z18" i="10"/>
  <c r="Y18" i="10"/>
  <c r="X18" i="10"/>
  <c r="W18" i="10"/>
  <c r="AC17" i="10"/>
  <c r="AB17" i="10"/>
  <c r="AA17" i="10"/>
  <c r="Z17" i="10"/>
  <c r="Y17" i="10"/>
  <c r="X17" i="10"/>
  <c r="W17" i="10"/>
  <c r="AC16" i="10"/>
  <c r="AB16" i="10"/>
  <c r="AA16" i="10"/>
  <c r="Z16" i="10"/>
  <c r="Y16" i="10"/>
  <c r="X16" i="10"/>
  <c r="W16" i="10"/>
  <c r="AC15" i="10"/>
  <c r="AB15" i="10"/>
  <c r="AA15" i="10"/>
  <c r="Z15" i="10"/>
  <c r="P15" i="10" s="1"/>
  <c r="Y15" i="10"/>
  <c r="X15" i="10"/>
  <c r="W15" i="10"/>
  <c r="AC14" i="10"/>
  <c r="AB14" i="10"/>
  <c r="AA14" i="10"/>
  <c r="Z14" i="10"/>
  <c r="Y14" i="10"/>
  <c r="X14" i="10"/>
  <c r="W14" i="10"/>
  <c r="P14" i="10" s="1"/>
  <c r="AC13" i="10"/>
  <c r="AB13" i="10"/>
  <c r="AA13" i="10"/>
  <c r="Z13" i="10"/>
  <c r="Y13" i="10"/>
  <c r="X13" i="10"/>
  <c r="W13" i="10"/>
  <c r="AC12" i="10"/>
  <c r="AB12" i="10"/>
  <c r="AA12" i="10"/>
  <c r="Z12" i="10"/>
  <c r="Y12" i="10"/>
  <c r="X12" i="10"/>
  <c r="W12" i="10"/>
  <c r="AC11" i="10"/>
  <c r="AB11" i="10"/>
  <c r="AA11" i="10"/>
  <c r="Z11" i="10"/>
  <c r="Y11" i="10"/>
  <c r="X11" i="10"/>
  <c r="W11" i="10"/>
  <c r="P11" i="10" s="1"/>
  <c r="AC10" i="10"/>
  <c r="AB10" i="10"/>
  <c r="AA10" i="10"/>
  <c r="Z10" i="10"/>
  <c r="Y10" i="10"/>
  <c r="X10" i="10"/>
  <c r="W10" i="10"/>
  <c r="P10" i="10"/>
  <c r="AC8" i="10"/>
  <c r="AB8" i="10"/>
  <c r="AA8" i="10"/>
  <c r="Z8" i="10"/>
  <c r="Y8" i="10"/>
  <c r="X8" i="10"/>
  <c r="W8" i="10"/>
  <c r="P8" i="10"/>
  <c r="AC7" i="10"/>
  <c r="AB7" i="10"/>
  <c r="AA7" i="10"/>
  <c r="Z7" i="10"/>
  <c r="Y7" i="10"/>
  <c r="X7" i="10"/>
  <c r="W7" i="10"/>
  <c r="P7" i="10"/>
  <c r="AC6" i="10"/>
  <c r="AB6" i="10"/>
  <c r="AA6" i="10"/>
  <c r="Z6" i="10"/>
  <c r="Y6" i="10"/>
  <c r="X6" i="10"/>
  <c r="W6" i="10"/>
  <c r="AC5" i="10"/>
  <c r="AB5" i="10"/>
  <c r="AA5" i="10"/>
  <c r="Z5" i="10"/>
  <c r="Y5" i="10"/>
  <c r="X5" i="10"/>
  <c r="W5" i="10"/>
  <c r="AC4" i="10"/>
  <c r="AB4" i="10"/>
  <c r="AA4" i="10"/>
  <c r="Z4" i="10"/>
  <c r="Y4" i="10"/>
  <c r="X4" i="10"/>
  <c r="W4" i="10"/>
  <c r="AC3" i="10"/>
  <c r="AB3" i="10"/>
  <c r="AA3" i="10"/>
  <c r="Z3" i="10"/>
  <c r="Y3" i="10"/>
  <c r="X3" i="10"/>
  <c r="W3" i="10"/>
  <c r="AC18" i="9"/>
  <c r="AB18" i="9"/>
  <c r="AA18" i="9"/>
  <c r="Z18" i="9"/>
  <c r="Y18" i="9"/>
  <c r="X18" i="9"/>
  <c r="W18" i="9"/>
  <c r="A18" i="9" a="1"/>
  <c r="A18" i="9" s="1"/>
  <c r="AC17" i="9"/>
  <c r="AB17" i="9"/>
  <c r="AA17" i="9"/>
  <c r="Z17" i="9"/>
  <c r="Y17" i="9"/>
  <c r="X17" i="9"/>
  <c r="W17" i="9"/>
  <c r="P17" i="9" s="1"/>
  <c r="AC16" i="9"/>
  <c r="AB16" i="9"/>
  <c r="AA16" i="9"/>
  <c r="Z16" i="9"/>
  <c r="Y16" i="9"/>
  <c r="X16" i="9"/>
  <c r="W16" i="9"/>
  <c r="P16" i="9"/>
  <c r="AC15" i="9"/>
  <c r="AB15" i="9"/>
  <c r="AA15" i="9"/>
  <c r="Z15" i="9"/>
  <c r="Y15" i="9"/>
  <c r="X15" i="9"/>
  <c r="W15" i="9"/>
  <c r="P15" i="9" s="1"/>
  <c r="AC14" i="9"/>
  <c r="AB14" i="9"/>
  <c r="AA14" i="9"/>
  <c r="Z14" i="9"/>
  <c r="Y14" i="9"/>
  <c r="X14" i="9"/>
  <c r="W14" i="9"/>
  <c r="P14" i="9"/>
  <c r="AC13" i="9"/>
  <c r="AB13" i="9"/>
  <c r="AA13" i="9"/>
  <c r="Z13" i="9"/>
  <c r="Y13" i="9"/>
  <c r="X13" i="9"/>
  <c r="W13" i="9"/>
  <c r="P13" i="9"/>
  <c r="AC12" i="9"/>
  <c r="AB12" i="9"/>
  <c r="AA12" i="9"/>
  <c r="Z12" i="9"/>
  <c r="Y12" i="9"/>
  <c r="X12" i="9"/>
  <c r="W12" i="9"/>
  <c r="AC11" i="9"/>
  <c r="AB11" i="9"/>
  <c r="AA11" i="9"/>
  <c r="Z11" i="9"/>
  <c r="Y11" i="9"/>
  <c r="X11" i="9"/>
  <c r="W11" i="9"/>
  <c r="AC10" i="9"/>
  <c r="AB10" i="9"/>
  <c r="AA10" i="9"/>
  <c r="Z10" i="9"/>
  <c r="Y10" i="9"/>
  <c r="X10" i="9"/>
  <c r="W10" i="9"/>
  <c r="P10" i="9"/>
  <c r="AC9" i="9"/>
  <c r="AB9" i="9"/>
  <c r="AA9" i="9"/>
  <c r="Z9" i="9"/>
  <c r="Y9" i="9"/>
  <c r="X9" i="9"/>
  <c r="W9" i="9"/>
  <c r="P9" i="9"/>
  <c r="AC8" i="9"/>
  <c r="AB8" i="9"/>
  <c r="AA8" i="9"/>
  <c r="Z8" i="9"/>
  <c r="Y8" i="9"/>
  <c r="X8" i="9"/>
  <c r="W8" i="9"/>
  <c r="P8" i="9"/>
  <c r="AC7" i="9"/>
  <c r="AB7" i="9"/>
  <c r="AA7" i="9"/>
  <c r="Z7" i="9"/>
  <c r="Y7" i="9"/>
  <c r="X7" i="9"/>
  <c r="W7" i="9"/>
  <c r="P7" i="9"/>
  <c r="AC6" i="9"/>
  <c r="AB6" i="9"/>
  <c r="AA6" i="9"/>
  <c r="Z6" i="9"/>
  <c r="Y6" i="9"/>
  <c r="X6" i="9"/>
  <c r="W6" i="9"/>
  <c r="P6" i="9"/>
  <c r="AC5" i="9"/>
  <c r="AB5" i="9"/>
  <c r="AA5" i="9"/>
  <c r="Z5" i="9"/>
  <c r="Y5" i="9"/>
  <c r="X5" i="9"/>
  <c r="W5" i="9"/>
  <c r="AC4" i="9"/>
  <c r="AB4" i="9"/>
  <c r="AA4" i="9"/>
  <c r="Z4" i="9"/>
  <c r="Y4" i="9"/>
  <c r="X4" i="9"/>
  <c r="W4" i="9"/>
  <c r="AC3" i="9"/>
  <c r="AB3" i="9"/>
  <c r="AA3" i="9"/>
  <c r="Z3" i="9"/>
  <c r="Y3" i="9"/>
  <c r="X3" i="9"/>
  <c r="W3" i="9"/>
  <c r="AC18" i="8"/>
  <c r="AB18" i="8"/>
  <c r="AA18" i="8"/>
  <c r="Z18" i="8"/>
  <c r="Y18" i="8"/>
  <c r="X18" i="8"/>
  <c r="W18" i="8"/>
  <c r="A18" i="8" a="1"/>
  <c r="A18" i="8" s="1"/>
  <c r="AC17" i="8"/>
  <c r="AB17" i="8"/>
  <c r="AA17" i="8"/>
  <c r="Z17" i="8"/>
  <c r="Y17" i="8"/>
  <c r="X17" i="8"/>
  <c r="W17" i="8"/>
  <c r="AC16" i="8"/>
  <c r="AB16" i="8"/>
  <c r="AA16" i="8"/>
  <c r="Z16" i="8"/>
  <c r="Y16" i="8"/>
  <c r="X16" i="8"/>
  <c r="W16" i="8"/>
  <c r="AC15" i="8"/>
  <c r="AB15" i="8"/>
  <c r="AA15" i="8"/>
  <c r="Z15" i="8"/>
  <c r="Y15" i="8"/>
  <c r="X15" i="8"/>
  <c r="W15" i="8"/>
  <c r="P15" i="8"/>
  <c r="AC14" i="8"/>
  <c r="AB14" i="8"/>
  <c r="AA14" i="8"/>
  <c r="Z14" i="8"/>
  <c r="Y14" i="8"/>
  <c r="X14" i="8"/>
  <c r="W14" i="8"/>
  <c r="P14" i="8" s="1"/>
  <c r="AC13" i="8"/>
  <c r="AB13" i="8"/>
  <c r="AA13" i="8"/>
  <c r="Z13" i="8"/>
  <c r="Y13" i="8"/>
  <c r="X13" i="8"/>
  <c r="W13" i="8"/>
  <c r="P13" i="8" s="1"/>
  <c r="AC12" i="8"/>
  <c r="AB12" i="8"/>
  <c r="AA12" i="8"/>
  <c r="Z12" i="8"/>
  <c r="Y12" i="8"/>
  <c r="X12" i="8"/>
  <c r="W12" i="8"/>
  <c r="P12" i="8"/>
  <c r="AC11" i="8"/>
  <c r="AB11" i="8"/>
  <c r="AA11" i="8"/>
  <c r="Z11" i="8"/>
  <c r="Y11" i="8"/>
  <c r="X11" i="8"/>
  <c r="W11" i="8"/>
  <c r="AC10" i="8"/>
  <c r="AB10" i="8"/>
  <c r="AA10" i="8"/>
  <c r="Z10" i="8"/>
  <c r="Y10" i="8"/>
  <c r="X10" i="8"/>
  <c r="W10" i="8"/>
  <c r="P10" i="8" s="1"/>
  <c r="AC9" i="8"/>
  <c r="AB9" i="8"/>
  <c r="AA9" i="8"/>
  <c r="Z9" i="8"/>
  <c r="Y9" i="8"/>
  <c r="X9" i="8"/>
  <c r="P9" i="8" s="1"/>
  <c r="W9" i="8"/>
  <c r="AC8" i="8"/>
  <c r="AB8" i="8"/>
  <c r="AA8" i="8"/>
  <c r="Z8" i="8"/>
  <c r="P8" i="8" s="1"/>
  <c r="Y8" i="8"/>
  <c r="X8" i="8"/>
  <c r="W8" i="8"/>
  <c r="AC7" i="8"/>
  <c r="AB7" i="8"/>
  <c r="AA7" i="8"/>
  <c r="Z7" i="8"/>
  <c r="Y7" i="8"/>
  <c r="X7" i="8"/>
  <c r="W7" i="8"/>
  <c r="P7" i="8" s="1"/>
  <c r="AC6" i="8"/>
  <c r="AB6" i="8"/>
  <c r="AA6" i="8"/>
  <c r="Z6" i="8"/>
  <c r="Y6" i="8"/>
  <c r="X6" i="8"/>
  <c r="P6" i="8" s="1"/>
  <c r="W6" i="8"/>
  <c r="AC5" i="8"/>
  <c r="AB5" i="8"/>
  <c r="AA5" i="8"/>
  <c r="Z5" i="8"/>
  <c r="Y5" i="8"/>
  <c r="X5" i="8"/>
  <c r="W5" i="8"/>
  <c r="AC4" i="8"/>
  <c r="AB4" i="8"/>
  <c r="AA4" i="8"/>
  <c r="Z4" i="8"/>
  <c r="Y4" i="8"/>
  <c r="X4" i="8"/>
  <c r="W4" i="8"/>
  <c r="AC3" i="8"/>
  <c r="AB3" i="8"/>
  <c r="AA3" i="8"/>
  <c r="Z3" i="8"/>
  <c r="Y3" i="8"/>
  <c r="X3" i="8"/>
  <c r="W3" i="8"/>
  <c r="W3" i="7"/>
  <c r="W13" i="7"/>
  <c r="X13" i="7"/>
  <c r="Y13" i="7"/>
  <c r="Z13" i="7"/>
  <c r="AA13" i="7"/>
  <c r="AB13" i="7"/>
  <c r="AC13" i="7"/>
  <c r="AC18" i="7"/>
  <c r="AB18" i="7"/>
  <c r="AA18" i="7"/>
  <c r="Z18" i="7"/>
  <c r="Y18" i="7"/>
  <c r="X18" i="7"/>
  <c r="W18" i="7"/>
  <c r="A18" i="7" a="1"/>
  <c r="A18" i="7" s="1"/>
  <c r="AC17" i="7"/>
  <c r="AB17" i="7"/>
  <c r="AA17" i="7"/>
  <c r="Z17" i="7"/>
  <c r="Y17" i="7"/>
  <c r="X17" i="7"/>
  <c r="W17" i="7"/>
  <c r="AC16" i="7"/>
  <c r="AB16" i="7"/>
  <c r="AA16" i="7"/>
  <c r="Z16" i="7"/>
  <c r="Y16" i="7"/>
  <c r="X16" i="7"/>
  <c r="W16" i="7"/>
  <c r="AC15" i="7"/>
  <c r="AB15" i="7"/>
  <c r="AA15" i="7"/>
  <c r="Z15" i="7"/>
  <c r="Y15" i="7"/>
  <c r="X15" i="7"/>
  <c r="W15" i="7"/>
  <c r="AC14" i="7"/>
  <c r="AB14" i="7"/>
  <c r="AA14" i="7"/>
  <c r="Z14" i="7"/>
  <c r="Y14" i="7"/>
  <c r="X14" i="7"/>
  <c r="W14" i="7"/>
  <c r="AC12" i="7"/>
  <c r="AB12" i="7"/>
  <c r="AA12" i="7"/>
  <c r="Z12" i="7"/>
  <c r="Y12" i="7"/>
  <c r="X12" i="7"/>
  <c r="W12" i="7"/>
  <c r="AC11" i="7"/>
  <c r="AB11" i="7"/>
  <c r="AA11" i="7"/>
  <c r="Z11" i="7"/>
  <c r="Y11" i="7"/>
  <c r="X11" i="7"/>
  <c r="W11" i="7"/>
  <c r="AC10" i="7"/>
  <c r="AB10" i="7"/>
  <c r="AA10" i="7"/>
  <c r="Z10" i="7"/>
  <c r="Y10" i="7"/>
  <c r="X10" i="7"/>
  <c r="W10" i="7"/>
  <c r="AC9" i="7"/>
  <c r="AB9" i="7"/>
  <c r="AA9" i="7"/>
  <c r="Z9" i="7"/>
  <c r="Y9" i="7"/>
  <c r="X9" i="7"/>
  <c r="W9" i="7"/>
  <c r="AC8" i="7"/>
  <c r="AB8" i="7"/>
  <c r="AA8" i="7"/>
  <c r="Z8" i="7"/>
  <c r="Y8" i="7"/>
  <c r="X8" i="7"/>
  <c r="W8" i="7"/>
  <c r="AC7" i="7"/>
  <c r="AB7" i="7"/>
  <c r="AA7" i="7"/>
  <c r="Z7" i="7"/>
  <c r="Y7" i="7"/>
  <c r="X7" i="7"/>
  <c r="W7" i="7"/>
  <c r="AC6" i="7"/>
  <c r="AB6" i="7"/>
  <c r="AA6" i="7"/>
  <c r="Z6" i="7"/>
  <c r="Y6" i="7"/>
  <c r="X6" i="7"/>
  <c r="W6" i="7"/>
  <c r="AC5" i="7"/>
  <c r="AB5" i="7"/>
  <c r="AA5" i="7"/>
  <c r="Z5" i="7"/>
  <c r="Y5" i="7"/>
  <c r="X5" i="7"/>
  <c r="W5" i="7"/>
  <c r="AC4" i="7"/>
  <c r="AB4" i="7"/>
  <c r="AA4" i="7"/>
  <c r="Z4" i="7"/>
  <c r="Y4" i="7"/>
  <c r="X4" i="7"/>
  <c r="W4" i="7"/>
  <c r="AC3" i="7"/>
  <c r="AB3" i="7"/>
  <c r="AA3" i="7"/>
  <c r="Z3" i="7"/>
  <c r="Y3" i="7"/>
  <c r="X3" i="7"/>
  <c r="AC10" i="6"/>
  <c r="AB10" i="6"/>
  <c r="AA10" i="6"/>
  <c r="Z10" i="6"/>
  <c r="Y10" i="6"/>
  <c r="X10" i="6"/>
  <c r="W10" i="6"/>
  <c r="AC19" i="6"/>
  <c r="AB19" i="6"/>
  <c r="AA19" i="6"/>
  <c r="Z19" i="6"/>
  <c r="Y19" i="6"/>
  <c r="X19" i="6"/>
  <c r="W19" i="6"/>
  <c r="A19" i="6" a="1"/>
  <c r="A19" i="6" s="1"/>
  <c r="AC18" i="6"/>
  <c r="AB18" i="6"/>
  <c r="AA18" i="6"/>
  <c r="Z18" i="6"/>
  <c r="Y18" i="6"/>
  <c r="X18" i="6"/>
  <c r="W18" i="6"/>
  <c r="AC17" i="6"/>
  <c r="AB17" i="6"/>
  <c r="AA17" i="6"/>
  <c r="Z17" i="6"/>
  <c r="Y17" i="6"/>
  <c r="X17" i="6"/>
  <c r="W17" i="6"/>
  <c r="AC16" i="6"/>
  <c r="AB16" i="6"/>
  <c r="AA16" i="6"/>
  <c r="Z16" i="6"/>
  <c r="Y16" i="6"/>
  <c r="X16" i="6"/>
  <c r="W16" i="6"/>
  <c r="AC15" i="6"/>
  <c r="AB15" i="6"/>
  <c r="AA15" i="6"/>
  <c r="Z15" i="6"/>
  <c r="Y15" i="6"/>
  <c r="X15" i="6"/>
  <c r="W15" i="6"/>
  <c r="AC14" i="6"/>
  <c r="AB14" i="6"/>
  <c r="AA14" i="6"/>
  <c r="Z14" i="6"/>
  <c r="Y14" i="6"/>
  <c r="X14" i="6"/>
  <c r="W14" i="6"/>
  <c r="P14" i="6" s="1"/>
  <c r="AC13" i="6"/>
  <c r="AB13" i="6"/>
  <c r="AA13" i="6"/>
  <c r="Z13" i="6"/>
  <c r="Y13" i="6"/>
  <c r="X13" i="6"/>
  <c r="W13" i="6"/>
  <c r="AC12" i="6"/>
  <c r="AB12" i="6"/>
  <c r="AA12" i="6"/>
  <c r="Z12" i="6"/>
  <c r="Y12" i="6"/>
  <c r="X12" i="6"/>
  <c r="W12" i="6"/>
  <c r="AC11" i="6"/>
  <c r="AB11" i="6"/>
  <c r="AA11" i="6"/>
  <c r="Z11" i="6"/>
  <c r="Y11" i="6"/>
  <c r="X11" i="6"/>
  <c r="W11" i="6"/>
  <c r="AC9" i="6"/>
  <c r="AB9" i="6"/>
  <c r="AA9" i="6"/>
  <c r="Z9" i="6"/>
  <c r="Y9" i="6"/>
  <c r="X9" i="6"/>
  <c r="W9" i="6"/>
  <c r="AC8" i="6"/>
  <c r="AB8" i="6"/>
  <c r="AA8" i="6"/>
  <c r="Z8" i="6"/>
  <c r="Y8" i="6"/>
  <c r="X8" i="6"/>
  <c r="W8" i="6"/>
  <c r="AC7" i="6"/>
  <c r="AB7" i="6"/>
  <c r="AA7" i="6"/>
  <c r="Z7" i="6"/>
  <c r="Y7" i="6"/>
  <c r="X7" i="6"/>
  <c r="W7" i="6"/>
  <c r="AC6" i="6"/>
  <c r="AB6" i="6"/>
  <c r="AA6" i="6"/>
  <c r="Z6" i="6"/>
  <c r="Y6" i="6"/>
  <c r="X6" i="6"/>
  <c r="W6" i="6"/>
  <c r="P6" i="6" s="1"/>
  <c r="AC5" i="6"/>
  <c r="AB5" i="6"/>
  <c r="AA5" i="6"/>
  <c r="Z5" i="6"/>
  <c r="Y5" i="6"/>
  <c r="X5" i="6"/>
  <c r="W5" i="6"/>
  <c r="AC4" i="6"/>
  <c r="AB4" i="6"/>
  <c r="AA4" i="6"/>
  <c r="Z4" i="6"/>
  <c r="Y4" i="6"/>
  <c r="X4" i="6"/>
  <c r="W4" i="6"/>
  <c r="AC3" i="6"/>
  <c r="AB3" i="6"/>
  <c r="AA3" i="6"/>
  <c r="Z3" i="6"/>
  <c r="Y3" i="6"/>
  <c r="X3" i="6"/>
  <c r="W3" i="6"/>
  <c r="AC18" i="4"/>
  <c r="AB18" i="4"/>
  <c r="AA18" i="4"/>
  <c r="Z18" i="4"/>
  <c r="Y18" i="4"/>
  <c r="X18" i="4"/>
  <c r="W18" i="4"/>
  <c r="A18" i="4" a="1"/>
  <c r="A18" i="4" s="1"/>
  <c r="AC17" i="4"/>
  <c r="AB17" i="4"/>
  <c r="AA17" i="4"/>
  <c r="Z17" i="4"/>
  <c r="Y17" i="4"/>
  <c r="X17" i="4"/>
  <c r="W17" i="4"/>
  <c r="AC16" i="4"/>
  <c r="AB16" i="4"/>
  <c r="AA16" i="4"/>
  <c r="Z16" i="4"/>
  <c r="Y16" i="4"/>
  <c r="X16" i="4"/>
  <c r="W16" i="4"/>
  <c r="AC15" i="4"/>
  <c r="AB15" i="4"/>
  <c r="AA15" i="4"/>
  <c r="P15" i="4" s="1"/>
  <c r="Z15" i="4"/>
  <c r="Y15" i="4"/>
  <c r="X15" i="4"/>
  <c r="W15" i="4"/>
  <c r="AC14" i="4"/>
  <c r="AB14" i="4"/>
  <c r="AA14" i="4"/>
  <c r="Z14" i="4"/>
  <c r="Y14" i="4"/>
  <c r="X14" i="4"/>
  <c r="W14" i="4"/>
  <c r="AC13" i="4"/>
  <c r="AB13" i="4"/>
  <c r="AA13" i="4"/>
  <c r="Z13" i="4"/>
  <c r="Y13" i="4"/>
  <c r="X13" i="4"/>
  <c r="W13" i="4"/>
  <c r="AC12" i="4"/>
  <c r="AB12" i="4"/>
  <c r="AA12" i="4"/>
  <c r="Z12" i="4"/>
  <c r="Y12" i="4"/>
  <c r="X12" i="4"/>
  <c r="W12" i="4"/>
  <c r="AC11" i="4"/>
  <c r="AB11" i="4"/>
  <c r="AA11" i="4"/>
  <c r="Z11" i="4"/>
  <c r="Y11" i="4"/>
  <c r="X11" i="4"/>
  <c r="W11" i="4"/>
  <c r="AC10" i="4"/>
  <c r="AB10" i="4"/>
  <c r="AA10" i="4"/>
  <c r="Z10" i="4"/>
  <c r="Y10" i="4"/>
  <c r="X10" i="4"/>
  <c r="W10" i="4"/>
  <c r="AC9" i="4"/>
  <c r="AB9" i="4"/>
  <c r="AA9" i="4"/>
  <c r="Z9" i="4"/>
  <c r="Y9" i="4"/>
  <c r="X9" i="4"/>
  <c r="W9" i="4"/>
  <c r="AC8" i="4"/>
  <c r="AB8" i="4"/>
  <c r="P8" i="4" s="1"/>
  <c r="AA8" i="4"/>
  <c r="Z8" i="4"/>
  <c r="Y8" i="4"/>
  <c r="X8" i="4"/>
  <c r="W8" i="4"/>
  <c r="AC7" i="4"/>
  <c r="AB7" i="4"/>
  <c r="AA7" i="4"/>
  <c r="Z7" i="4"/>
  <c r="Y7" i="4"/>
  <c r="X7" i="4"/>
  <c r="W7" i="4"/>
  <c r="AC6" i="4"/>
  <c r="AB6" i="4"/>
  <c r="AA6" i="4"/>
  <c r="Z6" i="4"/>
  <c r="Y6" i="4"/>
  <c r="X6" i="4"/>
  <c r="W6" i="4"/>
  <c r="AC5" i="4"/>
  <c r="AB5" i="4"/>
  <c r="AA5" i="4"/>
  <c r="Z5" i="4"/>
  <c r="Y5" i="4"/>
  <c r="X5" i="4"/>
  <c r="W5" i="4"/>
  <c r="AC4" i="4"/>
  <c r="AB4" i="4"/>
  <c r="AA4" i="4"/>
  <c r="Z4" i="4"/>
  <c r="Y4" i="4"/>
  <c r="X4" i="4"/>
  <c r="W4" i="4"/>
  <c r="AC3" i="4"/>
  <c r="AB3" i="4"/>
  <c r="AA3" i="4"/>
  <c r="Z3" i="4"/>
  <c r="Y3" i="4"/>
  <c r="X3" i="4"/>
  <c r="W3" i="4"/>
  <c r="AC19" i="5"/>
  <c r="AB19" i="5"/>
  <c r="AA19" i="5"/>
  <c r="Z19" i="5"/>
  <c r="Y19" i="5"/>
  <c r="X19" i="5"/>
  <c r="W19" i="5"/>
  <c r="A19" i="5" a="1"/>
  <c r="A19" i="5" s="1"/>
  <c r="AC18" i="5"/>
  <c r="AB18" i="5"/>
  <c r="AA18" i="5"/>
  <c r="P18" i="5" s="1"/>
  <c r="Z18" i="5"/>
  <c r="Y18" i="5"/>
  <c r="X18" i="5"/>
  <c r="W18" i="5"/>
  <c r="AC17" i="5"/>
  <c r="AB17" i="5"/>
  <c r="AA17" i="5"/>
  <c r="Z17" i="5"/>
  <c r="Y17" i="5"/>
  <c r="X17" i="5"/>
  <c r="W17" i="5"/>
  <c r="P17" i="5" s="1"/>
  <c r="AC16" i="5"/>
  <c r="AB16" i="5"/>
  <c r="AA16" i="5"/>
  <c r="Z16" i="5"/>
  <c r="Y16" i="5"/>
  <c r="X16" i="5"/>
  <c r="W16" i="5"/>
  <c r="P16" i="5"/>
  <c r="AC15" i="5"/>
  <c r="AB15" i="5"/>
  <c r="AA15" i="5"/>
  <c r="P15" i="5" s="1"/>
  <c r="Z15" i="5"/>
  <c r="Y15" i="5"/>
  <c r="X15" i="5"/>
  <c r="W15" i="5"/>
  <c r="AC14" i="5"/>
  <c r="AB14" i="5"/>
  <c r="AA14" i="5"/>
  <c r="Z14" i="5"/>
  <c r="Y14" i="5"/>
  <c r="X14" i="5"/>
  <c r="W14" i="5"/>
  <c r="P14" i="5" s="1"/>
  <c r="AC13" i="5"/>
  <c r="AB13" i="5"/>
  <c r="AA13" i="5"/>
  <c r="Z13" i="5"/>
  <c r="Y13" i="5"/>
  <c r="X13" i="5"/>
  <c r="W13" i="5"/>
  <c r="P13" i="5"/>
  <c r="AC12" i="5"/>
  <c r="AB12" i="5"/>
  <c r="AA12" i="5"/>
  <c r="Z12" i="5"/>
  <c r="Y12" i="5"/>
  <c r="X12" i="5"/>
  <c r="W12" i="5"/>
  <c r="AC11" i="5"/>
  <c r="AB11" i="5"/>
  <c r="AA11" i="5"/>
  <c r="Z11" i="5"/>
  <c r="Y11" i="5"/>
  <c r="X11" i="5"/>
  <c r="W11" i="5"/>
  <c r="P11" i="5"/>
  <c r="AC10" i="5"/>
  <c r="AB10" i="5"/>
  <c r="AA10" i="5"/>
  <c r="Z10" i="5"/>
  <c r="Y10" i="5"/>
  <c r="X10" i="5"/>
  <c r="W10" i="5"/>
  <c r="AC9" i="5"/>
  <c r="AB9" i="5"/>
  <c r="AA9" i="5"/>
  <c r="Z9" i="5"/>
  <c r="Y9" i="5"/>
  <c r="X9" i="5"/>
  <c r="W9" i="5"/>
  <c r="AC8" i="5"/>
  <c r="AB8" i="5"/>
  <c r="AA8" i="5"/>
  <c r="Z8" i="5"/>
  <c r="Y8" i="5"/>
  <c r="X8" i="5"/>
  <c r="W8" i="5"/>
  <c r="P8" i="5"/>
  <c r="AC7" i="5"/>
  <c r="AB7" i="5"/>
  <c r="AA7" i="5"/>
  <c r="Z7" i="5"/>
  <c r="Y7" i="5"/>
  <c r="X7" i="5"/>
  <c r="W7" i="5"/>
  <c r="P7" i="5"/>
  <c r="AC6" i="5"/>
  <c r="AB6" i="5"/>
  <c r="AA6" i="5"/>
  <c r="Z6" i="5"/>
  <c r="Y6" i="5"/>
  <c r="P6" i="5" s="1"/>
  <c r="X6" i="5"/>
  <c r="W6" i="5"/>
  <c r="AC5" i="5"/>
  <c r="AB5" i="5"/>
  <c r="AA5" i="5"/>
  <c r="Z5" i="5"/>
  <c r="Y5" i="5"/>
  <c r="X5" i="5"/>
  <c r="W5" i="5"/>
  <c r="AC4" i="5"/>
  <c r="AB4" i="5"/>
  <c r="AA4" i="5"/>
  <c r="Z4" i="5"/>
  <c r="Y4" i="5"/>
  <c r="X4" i="5"/>
  <c r="W4" i="5"/>
  <c r="AC3" i="5"/>
  <c r="AB3" i="5"/>
  <c r="AA3" i="5"/>
  <c r="Z3" i="5"/>
  <c r="Y3" i="5"/>
  <c r="X3" i="5"/>
  <c r="W3" i="5"/>
  <c r="P11" i="21" l="1"/>
  <c r="P18" i="21"/>
  <c r="P9" i="21"/>
  <c r="P8" i="21"/>
  <c r="P15" i="21"/>
  <c r="P6" i="21"/>
  <c r="P17" i="21"/>
  <c r="P14" i="21"/>
  <c r="P12" i="21"/>
  <c r="P19" i="21"/>
  <c r="P16" i="21"/>
  <c r="P7" i="19"/>
  <c r="P19" i="19"/>
  <c r="P16" i="19"/>
  <c r="P11" i="19"/>
  <c r="P9" i="19"/>
  <c r="P15" i="19"/>
  <c r="P17" i="19"/>
  <c r="P14" i="19"/>
  <c r="P8" i="19"/>
  <c r="P18" i="19"/>
  <c r="P10" i="19"/>
  <c r="P6" i="19"/>
  <c r="P19" i="18"/>
  <c r="P11" i="18"/>
  <c r="P10" i="18"/>
  <c r="P12" i="17"/>
  <c r="P7" i="17"/>
  <c r="P11" i="17"/>
  <c r="P9" i="17"/>
  <c r="P17" i="17"/>
  <c r="P6" i="17"/>
  <c r="P8" i="17"/>
  <c r="P10" i="17"/>
  <c r="P16" i="17"/>
  <c r="P19" i="17"/>
  <c r="P14" i="17"/>
  <c r="P15" i="17"/>
  <c r="P6" i="16"/>
  <c r="P14" i="16"/>
  <c r="P16" i="16"/>
  <c r="P13" i="16"/>
  <c r="P10" i="16"/>
  <c r="P7" i="16"/>
  <c r="P8" i="16"/>
  <c r="P9" i="16"/>
  <c r="P15" i="15"/>
  <c r="B22" i="14"/>
  <c r="W4" i="14"/>
  <c r="P10" i="11"/>
  <c r="P11" i="11"/>
  <c r="P6" i="11"/>
  <c r="P18" i="11"/>
  <c r="P14" i="11"/>
  <c r="P19" i="11"/>
  <c r="P16" i="11"/>
  <c r="P9" i="11"/>
  <c r="P18" i="10"/>
  <c r="P9" i="10"/>
  <c r="P6" i="10"/>
  <c r="P13" i="10"/>
  <c r="P17" i="10"/>
  <c r="P16" i="10"/>
  <c r="P12" i="9"/>
  <c r="P17" i="8"/>
  <c r="P16" i="8"/>
  <c r="P14" i="7"/>
  <c r="P16" i="7"/>
  <c r="P13" i="7"/>
  <c r="P15" i="7"/>
  <c r="P17" i="7"/>
  <c r="P7" i="7"/>
  <c r="P12" i="7"/>
  <c r="P8" i="7"/>
  <c r="P10" i="7"/>
  <c r="P6" i="7"/>
  <c r="P9" i="7"/>
  <c r="P10" i="6"/>
  <c r="P16" i="6"/>
  <c r="P9" i="6"/>
  <c r="P11" i="6"/>
  <c r="P7" i="6"/>
  <c r="P13" i="6"/>
  <c r="P17" i="6"/>
  <c r="P15" i="6"/>
  <c r="P18" i="6"/>
  <c r="P8" i="6"/>
  <c r="P16" i="4"/>
  <c r="P13" i="4"/>
  <c r="P14" i="4"/>
  <c r="P12" i="4"/>
  <c r="P7" i="4"/>
  <c r="P10" i="4"/>
  <c r="P9" i="4"/>
  <c r="P17" i="4"/>
  <c r="P6" i="4"/>
  <c r="P9" i="5"/>
  <c r="P10" i="5"/>
  <c r="AC19" i="3"/>
  <c r="AB19" i="3"/>
  <c r="AA19" i="3"/>
  <c r="Z19" i="3"/>
  <c r="Y19" i="3"/>
  <c r="X19" i="3"/>
  <c r="W19" i="3"/>
  <c r="A19" i="3" a="1"/>
  <c r="A19" i="3" s="1"/>
  <c r="AC18" i="3"/>
  <c r="AB18" i="3"/>
  <c r="AA18" i="3"/>
  <c r="Z18" i="3"/>
  <c r="Y18" i="3"/>
  <c r="X18" i="3"/>
  <c r="W18" i="3"/>
  <c r="AC17" i="3"/>
  <c r="AB17" i="3"/>
  <c r="AA17" i="3"/>
  <c r="Z17" i="3"/>
  <c r="Y17" i="3"/>
  <c r="X17" i="3"/>
  <c r="W17" i="3"/>
  <c r="AC16" i="3"/>
  <c r="AB16" i="3"/>
  <c r="AA16" i="3"/>
  <c r="Z16" i="3"/>
  <c r="Y16" i="3"/>
  <c r="X16" i="3"/>
  <c r="W16" i="3"/>
  <c r="AC15" i="3"/>
  <c r="AB15" i="3"/>
  <c r="AA15" i="3"/>
  <c r="Z15" i="3"/>
  <c r="Y15" i="3"/>
  <c r="X15" i="3"/>
  <c r="W15" i="3"/>
  <c r="AC14" i="3"/>
  <c r="P14" i="3" s="1"/>
  <c r="AB14" i="3"/>
  <c r="AA14" i="3"/>
  <c r="Z14" i="3"/>
  <c r="Y14" i="3"/>
  <c r="X14" i="3"/>
  <c r="W14" i="3"/>
  <c r="AC13" i="3"/>
  <c r="AB13" i="3"/>
  <c r="AA13" i="3"/>
  <c r="Z13" i="3"/>
  <c r="Y13" i="3"/>
  <c r="X13" i="3"/>
  <c r="P13" i="3" s="1"/>
  <c r="W13" i="3"/>
  <c r="AC12" i="3"/>
  <c r="AB12" i="3"/>
  <c r="AA12" i="3"/>
  <c r="Z12" i="3"/>
  <c r="Y12" i="3"/>
  <c r="X12" i="3"/>
  <c r="W12" i="3"/>
  <c r="AC11" i="3"/>
  <c r="AB11" i="3"/>
  <c r="AA11" i="3"/>
  <c r="Z11" i="3"/>
  <c r="Y11" i="3"/>
  <c r="X11" i="3"/>
  <c r="W11" i="3"/>
  <c r="AC10" i="3"/>
  <c r="AB10" i="3"/>
  <c r="AA10" i="3"/>
  <c r="Z10" i="3"/>
  <c r="Y10" i="3"/>
  <c r="X10" i="3"/>
  <c r="W10" i="3"/>
  <c r="AC9" i="3"/>
  <c r="AB9" i="3"/>
  <c r="AA9" i="3"/>
  <c r="Z9" i="3"/>
  <c r="Y9" i="3"/>
  <c r="X9" i="3"/>
  <c r="W9" i="3"/>
  <c r="AC8" i="3"/>
  <c r="AB8" i="3"/>
  <c r="AA8" i="3"/>
  <c r="Z8" i="3"/>
  <c r="Y8" i="3"/>
  <c r="X8" i="3"/>
  <c r="W8" i="3"/>
  <c r="AC7" i="3"/>
  <c r="AB7" i="3"/>
  <c r="AA7" i="3"/>
  <c r="Z7" i="3"/>
  <c r="Y7" i="3"/>
  <c r="X7" i="3"/>
  <c r="W7" i="3"/>
  <c r="AC6" i="3"/>
  <c r="AB6" i="3"/>
  <c r="AA6" i="3"/>
  <c r="Z6" i="3"/>
  <c r="Y6" i="3"/>
  <c r="X6" i="3"/>
  <c r="W6" i="3"/>
  <c r="AC5" i="3"/>
  <c r="AB5" i="3"/>
  <c r="AA5" i="3"/>
  <c r="Z5" i="3"/>
  <c r="Y5" i="3"/>
  <c r="X5" i="3"/>
  <c r="W5" i="3"/>
  <c r="AC4" i="3"/>
  <c r="AB4" i="3"/>
  <c r="AA4" i="3"/>
  <c r="Z4" i="3"/>
  <c r="Y4" i="3"/>
  <c r="X4" i="3"/>
  <c r="W4" i="3"/>
  <c r="AC3" i="3"/>
  <c r="AB3" i="3"/>
  <c r="AA3" i="3"/>
  <c r="Z3" i="3"/>
  <c r="Y3" i="3"/>
  <c r="X3" i="3"/>
  <c r="W3" i="3"/>
  <c r="AC16" i="2"/>
  <c r="AB16" i="2"/>
  <c r="AA16" i="2"/>
  <c r="Z16" i="2"/>
  <c r="Y16" i="2"/>
  <c r="X16" i="2"/>
  <c r="W16" i="2"/>
  <c r="P16" i="2"/>
  <c r="P8" i="3" l="1"/>
  <c r="P15" i="3"/>
  <c r="P16" i="3"/>
  <c r="P18" i="3"/>
  <c r="P17" i="3"/>
  <c r="P10" i="3"/>
  <c r="P7" i="3"/>
  <c r="P11" i="3"/>
  <c r="P6" i="3"/>
  <c r="P9" i="3"/>
  <c r="AC19" i="2" l="1"/>
  <c r="AB19" i="2"/>
  <c r="AA19" i="2"/>
  <c r="Z19" i="2"/>
  <c r="Y19" i="2"/>
  <c r="X19" i="2"/>
  <c r="W19" i="2"/>
  <c r="A19" i="2" a="1"/>
  <c r="A19" i="2" s="1"/>
  <c r="AC18" i="2"/>
  <c r="AB18" i="2"/>
  <c r="AA18" i="2"/>
  <c r="Z18" i="2"/>
  <c r="Y18" i="2"/>
  <c r="X18" i="2"/>
  <c r="W18" i="2"/>
  <c r="AC17" i="2"/>
  <c r="AB17" i="2"/>
  <c r="AA17" i="2"/>
  <c r="Z17" i="2"/>
  <c r="Y17" i="2"/>
  <c r="X17" i="2"/>
  <c r="W17" i="2"/>
  <c r="AC15" i="2"/>
  <c r="AB15" i="2"/>
  <c r="AA15" i="2"/>
  <c r="Z15" i="2"/>
  <c r="Y15" i="2"/>
  <c r="X15" i="2"/>
  <c r="W15" i="2"/>
  <c r="AC14" i="2"/>
  <c r="AB14" i="2"/>
  <c r="AA14" i="2"/>
  <c r="Z14" i="2"/>
  <c r="Y14" i="2"/>
  <c r="X14" i="2"/>
  <c r="W14" i="2"/>
  <c r="AC13" i="2"/>
  <c r="AB13" i="2"/>
  <c r="AA13" i="2"/>
  <c r="Z13" i="2"/>
  <c r="Y13" i="2"/>
  <c r="X13" i="2"/>
  <c r="W13" i="2"/>
  <c r="P13" i="2" s="1"/>
  <c r="AC12" i="2"/>
  <c r="AB12" i="2"/>
  <c r="AA12" i="2"/>
  <c r="Z12" i="2"/>
  <c r="Y12" i="2"/>
  <c r="X12" i="2"/>
  <c r="W12" i="2"/>
  <c r="AC11" i="2"/>
  <c r="AB11" i="2"/>
  <c r="AA11" i="2"/>
  <c r="Z11" i="2"/>
  <c r="Y11" i="2"/>
  <c r="X11" i="2"/>
  <c r="W11" i="2"/>
  <c r="AC10" i="2"/>
  <c r="AB10" i="2"/>
  <c r="AA10" i="2"/>
  <c r="Z10" i="2"/>
  <c r="Y10" i="2"/>
  <c r="X10" i="2"/>
  <c r="W10" i="2"/>
  <c r="AC9" i="2"/>
  <c r="AB9" i="2"/>
  <c r="AA9" i="2"/>
  <c r="Z9" i="2"/>
  <c r="Y9" i="2"/>
  <c r="X9" i="2"/>
  <c r="W9" i="2"/>
  <c r="AC8" i="2"/>
  <c r="AB8" i="2"/>
  <c r="AA8" i="2"/>
  <c r="Z8" i="2"/>
  <c r="Y8" i="2"/>
  <c r="X8" i="2"/>
  <c r="W8" i="2"/>
  <c r="AC7" i="2"/>
  <c r="AB7" i="2"/>
  <c r="AA7" i="2"/>
  <c r="Z7" i="2"/>
  <c r="Y7" i="2"/>
  <c r="X7" i="2"/>
  <c r="W7" i="2"/>
  <c r="AC6" i="2"/>
  <c r="AB6" i="2"/>
  <c r="AA6" i="2"/>
  <c r="Z6" i="2"/>
  <c r="Y6" i="2"/>
  <c r="X6" i="2"/>
  <c r="W6" i="2"/>
  <c r="P6" i="2" s="1"/>
  <c r="AC5" i="2"/>
  <c r="AB5" i="2"/>
  <c r="AA5" i="2"/>
  <c r="Z5" i="2"/>
  <c r="Y5" i="2"/>
  <c r="X5" i="2"/>
  <c r="W5" i="2"/>
  <c r="AC4" i="2"/>
  <c r="AB4" i="2"/>
  <c r="AA4" i="2"/>
  <c r="Z4" i="2"/>
  <c r="Y4" i="2"/>
  <c r="X4" i="2"/>
  <c r="W4" i="2"/>
  <c r="AC3" i="2"/>
  <c r="AB3" i="2"/>
  <c r="AA3" i="2"/>
  <c r="Z3" i="2"/>
  <c r="Y3" i="2"/>
  <c r="X3" i="2"/>
  <c r="W3" i="2"/>
  <c r="AC19" i="1"/>
  <c r="AB19" i="1"/>
  <c r="AA19" i="1"/>
  <c r="Z19" i="1"/>
  <c r="Y19" i="1"/>
  <c r="X19" i="1"/>
  <c r="W19" i="1"/>
  <c r="A19" i="1" a="1"/>
  <c r="A19" i="1" s="1"/>
  <c r="AC18" i="1"/>
  <c r="AB18" i="1"/>
  <c r="AA18" i="1"/>
  <c r="Z18" i="1"/>
  <c r="Y18" i="1"/>
  <c r="X18" i="1"/>
  <c r="W18" i="1"/>
  <c r="P18" i="1" s="1"/>
  <c r="AC17" i="1"/>
  <c r="AB17" i="1"/>
  <c r="AA17" i="1"/>
  <c r="Z17" i="1"/>
  <c r="Y17" i="1"/>
  <c r="X17" i="1"/>
  <c r="W17" i="1"/>
  <c r="P17" i="1" s="1"/>
  <c r="AC16" i="1"/>
  <c r="AB16" i="1"/>
  <c r="AA16" i="1"/>
  <c r="Z16" i="1"/>
  <c r="Y16" i="1"/>
  <c r="X16" i="1"/>
  <c r="W16" i="1"/>
  <c r="P16" i="1" s="1"/>
  <c r="AC15" i="1"/>
  <c r="AB15" i="1"/>
  <c r="AA15" i="1"/>
  <c r="Z15" i="1"/>
  <c r="Y15" i="1"/>
  <c r="X15" i="1"/>
  <c r="W15" i="1"/>
  <c r="AC14" i="1"/>
  <c r="AB14" i="1"/>
  <c r="AA14" i="1"/>
  <c r="Z14" i="1"/>
  <c r="Y14" i="1"/>
  <c r="X14" i="1"/>
  <c r="W14" i="1"/>
  <c r="P14" i="1" s="1"/>
  <c r="AC13" i="1"/>
  <c r="AB13" i="1"/>
  <c r="AA13" i="1"/>
  <c r="Z13" i="1"/>
  <c r="Y13" i="1"/>
  <c r="X13" i="1"/>
  <c r="W13" i="1"/>
  <c r="P13" i="1" s="1"/>
  <c r="AC12" i="1"/>
  <c r="AB12" i="1"/>
  <c r="AA12" i="1"/>
  <c r="Z12" i="1"/>
  <c r="Y12" i="1"/>
  <c r="X12" i="1"/>
  <c r="W12" i="1"/>
  <c r="AC11" i="1"/>
  <c r="AB11" i="1"/>
  <c r="AA11" i="1"/>
  <c r="Z11" i="1"/>
  <c r="Y11" i="1"/>
  <c r="X11" i="1"/>
  <c r="W11" i="1"/>
  <c r="P11" i="1" s="1"/>
  <c r="AC10" i="1"/>
  <c r="AB10" i="1"/>
  <c r="AA10" i="1"/>
  <c r="Z10" i="1"/>
  <c r="Y10" i="1"/>
  <c r="X10" i="1"/>
  <c r="W10" i="1"/>
  <c r="AC9" i="1"/>
  <c r="AB9" i="1"/>
  <c r="AA9" i="1"/>
  <c r="Z9" i="1"/>
  <c r="Y9" i="1"/>
  <c r="X9" i="1"/>
  <c r="W9" i="1"/>
  <c r="AC8" i="1"/>
  <c r="AB8" i="1"/>
  <c r="AA8" i="1"/>
  <c r="Z8" i="1"/>
  <c r="Y8" i="1"/>
  <c r="X8" i="1"/>
  <c r="W8" i="1"/>
  <c r="AC7" i="1"/>
  <c r="AB7" i="1"/>
  <c r="AA7" i="1"/>
  <c r="Z7" i="1"/>
  <c r="Y7" i="1"/>
  <c r="X7" i="1"/>
  <c r="W7" i="1"/>
  <c r="AC6" i="1"/>
  <c r="AB6" i="1"/>
  <c r="AA6" i="1"/>
  <c r="Z6" i="1"/>
  <c r="Y6" i="1"/>
  <c r="X6" i="1"/>
  <c r="W6" i="1"/>
  <c r="AC5" i="1"/>
  <c r="AB5" i="1"/>
  <c r="AA5" i="1"/>
  <c r="Z5" i="1"/>
  <c r="Y5" i="1"/>
  <c r="X5" i="1"/>
  <c r="W5" i="1"/>
  <c r="AC4" i="1"/>
  <c r="AB4" i="1"/>
  <c r="AA4" i="1"/>
  <c r="Z4" i="1"/>
  <c r="Y4" i="1"/>
  <c r="X4" i="1"/>
  <c r="W4" i="1"/>
  <c r="AC3" i="1"/>
  <c r="AB3" i="1"/>
  <c r="AA3" i="1"/>
  <c r="Z3" i="1"/>
  <c r="Y3" i="1"/>
  <c r="X3" i="1"/>
  <c r="W3" i="1"/>
  <c r="P14" i="2" l="1"/>
  <c r="P17" i="2"/>
  <c r="P11" i="2"/>
  <c r="P18" i="2"/>
  <c r="P15" i="2"/>
  <c r="P8" i="2"/>
  <c r="P10" i="2"/>
  <c r="P7" i="2"/>
  <c r="P9" i="2"/>
  <c r="P6" i="1"/>
  <c r="P10" i="1"/>
  <c r="P8" i="1"/>
  <c r="P7" i="1"/>
  <c r="P9" i="1"/>
  <c r="P15" i="1"/>
  <c r="A1" i="19"/>
  <c r="A1" i="19" a="1"/>
  <c r="A1" i="16"/>
  <c r="A1" i="16" a="1"/>
  <c r="A1" i="17"/>
  <c r="A1" i="17" a="1"/>
  <c r="A1" i="20"/>
  <c r="A1" i="20" a="1"/>
  <c r="A1" i="23"/>
  <c r="A1" i="23" a="1"/>
  <c r="A1" i="14"/>
  <c r="A1" i="14" a="1"/>
  <c r="A1" i="12"/>
  <c r="A1" i="12" a="1"/>
  <c r="A1" i="11"/>
  <c r="A1" i="11" a="1"/>
  <c r="A1" i="21"/>
  <c r="A1" i="21" a="1"/>
  <c r="A1" i="13"/>
  <c r="A1" i="13" a="1"/>
  <c r="A1" i="1"/>
  <c r="A1" i="1" a="1"/>
  <c r="A1" i="2"/>
  <c r="A1" i="2" a="1"/>
  <c r="A1" i="15"/>
  <c r="A1" i="15" a="1"/>
  <c r="A1" i="18"/>
  <c r="A1" i="18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<sst xmlns="http://schemas.openxmlformats.org/spreadsheetml/2006/main" count="1000" uniqueCount="47">
  <si>
    <t>MERCIERE</t>
  </si>
  <si>
    <t xml:space="preserve">LUNDI </t>
  </si>
  <si>
    <t xml:space="preserve">MARDI </t>
  </si>
  <si>
    <t xml:space="preserve">MERCREDI </t>
  </si>
  <si>
    <t xml:space="preserve">JEUDI </t>
  </si>
  <si>
    <t xml:space="preserve">VENDREDI </t>
  </si>
  <si>
    <t xml:space="preserve">SAMEDI </t>
  </si>
  <si>
    <t xml:space="preserve">DIMANCHE </t>
  </si>
  <si>
    <t>TOTAL</t>
  </si>
  <si>
    <t>Evènement</t>
  </si>
  <si>
    <t>Paul</t>
  </si>
  <si>
    <t>Mahé</t>
  </si>
  <si>
    <t>Arthur</t>
  </si>
  <si>
    <t>Shanel</t>
  </si>
  <si>
    <t>Philippe</t>
  </si>
  <si>
    <t>Antoine</t>
  </si>
  <si>
    <t>Hugo</t>
  </si>
  <si>
    <t>Nicolas</t>
  </si>
  <si>
    <t>Rayan</t>
  </si>
  <si>
    <t>Capucine</t>
  </si>
  <si>
    <t>Romain</t>
  </si>
  <si>
    <t>Anthony</t>
  </si>
  <si>
    <t>Maximilien</t>
  </si>
  <si>
    <t>SEMAINE 01</t>
  </si>
  <si>
    <t>SEMAINE 02</t>
  </si>
  <si>
    <t>SEMAINE 03</t>
  </si>
  <si>
    <t>Jeanne</t>
  </si>
  <si>
    <t>SEMAINE 04</t>
  </si>
  <si>
    <t>Carla</t>
  </si>
  <si>
    <t>SEMAINE 05</t>
  </si>
  <si>
    <t>X</t>
  </si>
  <si>
    <t>SEMAINE 06</t>
  </si>
  <si>
    <t>Vincent</t>
  </si>
  <si>
    <t>SEMAINE 07</t>
  </si>
  <si>
    <t>Louisa</t>
  </si>
  <si>
    <t>SEMAINE 09</t>
  </si>
  <si>
    <t>Krystal</t>
  </si>
  <si>
    <t>Doan</t>
  </si>
  <si>
    <t>SEMAINE 10</t>
  </si>
  <si>
    <t>x</t>
  </si>
  <si>
    <t>SEMAINE 11</t>
  </si>
  <si>
    <t>Thibaut</t>
  </si>
  <si>
    <t>Chemsy</t>
  </si>
  <si>
    <t>SEMAINE 12</t>
  </si>
  <si>
    <t>SEMAINE 13</t>
  </si>
  <si>
    <t>Mathis</t>
  </si>
  <si>
    <t>Amandine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</si>
</sst>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dd/mm/yyyy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color indexed="9"/>
      <name val="Arial"/>
      <family val="2"/>
    </font>
    <font>
      <sz val="8"/>
      <color indexed="8"/>
      <name val="Arial"/>
      <family val="2"/>
    </font>
    <font>
      <b/>
      <u/>
      <sz val="8"/>
      <color indexed="10"/>
      <name val="Calibri"/>
      <family val="2"/>
    </font>
    <font>
      <b/>
      <sz val="8"/>
      <name val="Calibri"/>
      <family val="2"/>
    </font>
    <font>
      <sz val="8"/>
      <color indexed="8"/>
      <name val="Calibri"/>
      <family val="2"/>
    </font>
    <font>
      <b/>
      <sz val="8"/>
      <color indexed="8"/>
      <name val="Arial"/>
      <family val="2"/>
    </font>
    <font>
      <b/>
      <sz val="8"/>
      <color theme="5" tint="-0.249977111117893"/>
      <name val="Calibri"/>
      <family val="2"/>
    </font>
    <font>
      <sz val="8"/>
      <name val="Calibri"/>
      <family val="2"/>
    </font>
    <font>
      <b/>
      <sz val="10"/>
      <color indexed="9"/>
      <name val="Arial"/>
    </font>
    <font>
      <sz val="8"/>
      <color indexed="8"/>
      <name val="Arial"/>
    </font>
    <font>
      <b/>
      <u/>
      <sz val="8"/>
      <color indexed="10"/>
      <name val="Calibri"/>
    </font>
    <font>
      <b/>
      <sz val="8"/>
      <name val="Calibri"/>
    </font>
    <font>
      <sz val="8"/>
      <color indexed="8"/>
      <name val="Calibri"/>
    </font>
    <font>
      <b/>
      <sz val="8"/>
      <color indexed="8"/>
      <name val="Arial"/>
    </font>
    <font>
      <b/>
      <sz val="8"/>
      <color theme="5" tint="-0.249977111117893"/>
      <name val="Calibri"/>
    </font>
    <font>
      <sz val="8"/>
      <name val="Calibri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indexed="8"/>
        <bgColor indexed="63"/>
      </patternFill>
    </fill>
    <fill>
      <patternFill patternType="solid">
        <fgColor indexed="9"/>
        <bgColor indexed="26"/>
      </patternFill>
    </fill>
    <fill>
      <patternFill patternType="solid">
        <fgColor indexed="31"/>
        <bgColor indexed="42"/>
      </patternFill>
    </fill>
    <fill>
      <patternFill patternType="solid">
        <fgColor theme="2"/>
        <bgColor indexed="64"/>
      </patternFill>
    </fill>
    <fill>
      <patternFill patternType="solid">
        <fgColor theme="5" tint="-0.249977111117893"/>
        <bgColor indexed="53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/>
        <bgColor indexed="63"/>
      </patternFill>
    </fill>
    <fill>
      <patternFill patternType="solid">
        <fgColor rgb="FF00B0F0"/>
        <bgColor indexed="64"/>
      </patternFill>
    </fill>
    <fill>
      <patternFill patternType="solid">
        <fgColor rgb="FFE410CB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53"/>
      </patternFill>
    </fill>
    <fill>
      <patternFill patternType="solid">
        <fgColor theme="5" tint="-0.249977111117893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/>
    <xf numFmtId="9" fontId="2" fillId="0" borderId="0"/>
  </cellStyleXfs>
  <cellXfs count="78">
    <xf numFmtId="0" fontId="0" fillId="0" borderId="0" xfId="0"/>
    <xf numFmtId="0" fontId="0" fillId="2" borderId="1" xfId="0" applyFill="1" applyBorder="1"/>
    <xf numFmtId="0" fontId="4" fillId="2" borderId="4" xfId="2" applyFont="1" applyFill="1" applyBorder="1" applyAlignment="1">
      <alignment vertical="center"/>
    </xf>
    <xf numFmtId="0" fontId="5" fillId="4" borderId="5" xfId="1" applyNumberFormat="1" applyFont="1" applyFill="1" applyBorder="1" applyAlignment="1" applyProtection="1">
      <alignment vertical="center"/>
    </xf>
    <xf numFmtId="0" fontId="6" fillId="5" borderId="7" xfId="1" applyNumberFormat="1" applyFont="1" applyFill="1" applyBorder="1" applyAlignment="1" applyProtection="1">
      <alignment horizontal="center" vertical="center"/>
    </xf>
    <xf numFmtId="164" fontId="7" fillId="4" borderId="0" xfId="2" applyNumberFormat="1" applyFont="1" applyFill="1"/>
    <xf numFmtId="0" fontId="5" fillId="4" borderId="8" xfId="1" applyNumberFormat="1" applyFont="1" applyFill="1" applyBorder="1" applyAlignment="1" applyProtection="1">
      <alignment vertical="center"/>
    </xf>
    <xf numFmtId="0" fontId="6" fillId="5" borderId="10" xfId="1" applyNumberFormat="1" applyFont="1" applyFill="1" applyBorder="1" applyAlignment="1" applyProtection="1">
      <alignment horizontal="center" vertical="center"/>
    </xf>
    <xf numFmtId="0" fontId="8" fillId="0" borderId="11" xfId="3" applyNumberFormat="1" applyFont="1" applyBorder="1" applyAlignment="1">
      <alignment horizontal="center" vertical="center"/>
    </xf>
    <xf numFmtId="0" fontId="8" fillId="6" borderId="8" xfId="3" applyNumberFormat="1" applyFont="1" applyFill="1" applyBorder="1" applyAlignment="1">
      <alignment horizontal="center" vertical="center"/>
    </xf>
    <xf numFmtId="164" fontId="9" fillId="7" borderId="9" xfId="1" applyNumberFormat="1" applyFont="1" applyFill="1" applyBorder="1" applyAlignment="1" applyProtection="1">
      <alignment horizontal="center" vertical="center"/>
    </xf>
    <xf numFmtId="164" fontId="6" fillId="8" borderId="9" xfId="1" applyNumberFormat="1" applyFont="1" applyFill="1" applyBorder="1" applyAlignment="1" applyProtection="1">
      <alignment horizontal="center" vertical="center"/>
    </xf>
    <xf numFmtId="46" fontId="6" fillId="4" borderId="10" xfId="1" applyNumberFormat="1" applyFont="1" applyFill="1" applyBorder="1" applyAlignment="1" applyProtection="1">
      <alignment horizontal="center" vertical="center"/>
    </xf>
    <xf numFmtId="0" fontId="8" fillId="6" borderId="11" xfId="3" applyNumberFormat="1" applyFont="1" applyFill="1" applyBorder="1" applyAlignment="1">
      <alignment horizontal="center" vertical="center"/>
    </xf>
    <xf numFmtId="164" fontId="6" fillId="9" borderId="9" xfId="1" applyNumberFormat="1" applyFont="1" applyFill="1" applyBorder="1" applyAlignment="1" applyProtection="1">
      <alignment horizontal="center" vertical="center"/>
    </xf>
    <xf numFmtId="0" fontId="8" fillId="10" borderId="8" xfId="3" applyNumberFormat="1" applyFont="1" applyFill="1" applyBorder="1" applyAlignment="1">
      <alignment horizontal="center" vertical="center"/>
    </xf>
    <xf numFmtId="164" fontId="10" fillId="10" borderId="9" xfId="1" applyNumberFormat="1" applyFont="1" applyFill="1" applyBorder="1" applyAlignment="1" applyProtection="1">
      <alignment horizontal="center" vertical="center"/>
    </xf>
    <xf numFmtId="164" fontId="6" fillId="11" borderId="9" xfId="1" applyNumberFormat="1" applyFont="1" applyFill="1" applyBorder="1" applyAlignment="1" applyProtection="1">
      <alignment horizontal="center" vertical="center"/>
    </xf>
    <xf numFmtId="46" fontId="6" fillId="0" borderId="10" xfId="1" applyNumberFormat="1" applyFont="1" applyFill="1" applyBorder="1" applyAlignment="1" applyProtection="1">
      <alignment horizontal="center" vertical="center"/>
    </xf>
    <xf numFmtId="0" fontId="8" fillId="0" borderId="8" xfId="3" applyNumberFormat="1" applyFont="1" applyBorder="1" applyAlignment="1">
      <alignment horizontal="center" vertical="center"/>
    </xf>
    <xf numFmtId="164" fontId="6" fillId="7" borderId="9" xfId="1" applyNumberFormat="1" applyFont="1" applyFill="1" applyBorder="1" applyAlignment="1" applyProtection="1">
      <alignment vertical="center"/>
    </xf>
    <xf numFmtId="164" fontId="6" fillId="12" borderId="9" xfId="1" applyNumberFormat="1" applyFont="1" applyFill="1" applyBorder="1" applyAlignment="1" applyProtection="1">
      <alignment horizontal="center" vertical="center"/>
    </xf>
    <xf numFmtId="0" fontId="12" fillId="2" borderId="4" xfId="2" applyFont="1" applyFill="1" applyBorder="1" applyAlignment="1">
      <alignment vertical="center"/>
    </xf>
    <xf numFmtId="0" fontId="13" fillId="4" borderId="5" xfId="1" applyNumberFormat="1" applyFont="1" applyFill="1" applyBorder="1" applyAlignment="1">
      <alignment vertical="center"/>
    </xf>
    <xf numFmtId="0" fontId="14" fillId="5" borderId="7" xfId="1" applyNumberFormat="1" applyFont="1" applyFill="1" applyBorder="1" applyAlignment="1">
      <alignment horizontal="center" vertical="center"/>
    </xf>
    <xf numFmtId="164" fontId="15" fillId="4" borderId="0" xfId="2" applyNumberFormat="1" applyFont="1" applyFill="1"/>
    <xf numFmtId="0" fontId="13" fillId="4" borderId="8" xfId="1" applyNumberFormat="1" applyFont="1" applyFill="1" applyBorder="1" applyAlignment="1">
      <alignment vertical="center"/>
    </xf>
    <xf numFmtId="0" fontId="14" fillId="5" borderId="10" xfId="1" applyNumberFormat="1" applyFont="1" applyFill="1" applyBorder="1" applyAlignment="1">
      <alignment horizontal="center" vertical="center"/>
    </xf>
    <xf numFmtId="0" fontId="16" fillId="0" borderId="11" xfId="3" applyNumberFormat="1" applyFont="1" applyBorder="1" applyAlignment="1">
      <alignment horizontal="center" vertical="center"/>
    </xf>
    <xf numFmtId="0" fontId="16" fillId="6" borderId="8" xfId="3" applyNumberFormat="1" applyFont="1" applyFill="1" applyBorder="1" applyAlignment="1">
      <alignment horizontal="center" vertical="center"/>
    </xf>
    <xf numFmtId="164" fontId="14" fillId="8" borderId="9" xfId="1" applyNumberFormat="1" applyFont="1" applyFill="1" applyBorder="1" applyAlignment="1">
      <alignment horizontal="center" vertical="center"/>
    </xf>
    <xf numFmtId="164" fontId="17" fillId="7" borderId="9" xfId="1" applyNumberFormat="1" applyFont="1" applyFill="1" applyBorder="1" applyAlignment="1">
      <alignment horizontal="center" vertical="center"/>
    </xf>
    <xf numFmtId="46" fontId="14" fillId="4" borderId="10" xfId="1" applyNumberFormat="1" applyFont="1" applyFill="1" applyBorder="1" applyAlignment="1">
      <alignment horizontal="center" vertical="center"/>
    </xf>
    <xf numFmtId="0" fontId="16" fillId="6" borderId="11" xfId="3" applyNumberFormat="1" applyFont="1" applyFill="1" applyBorder="1" applyAlignment="1">
      <alignment horizontal="center" vertical="center"/>
    </xf>
    <xf numFmtId="164" fontId="14" fillId="9" borderId="9" xfId="1" applyNumberFormat="1" applyFont="1" applyFill="1" applyBorder="1" applyAlignment="1">
      <alignment horizontal="center" vertical="center"/>
    </xf>
    <xf numFmtId="0" fontId="16" fillId="10" borderId="8" xfId="3" applyNumberFormat="1" applyFont="1" applyFill="1" applyBorder="1" applyAlignment="1">
      <alignment horizontal="center" vertical="center"/>
    </xf>
    <xf numFmtId="164" fontId="18" fillId="10" borderId="9" xfId="1" applyNumberFormat="1" applyFont="1" applyFill="1" applyBorder="1" applyAlignment="1">
      <alignment horizontal="center" vertical="center"/>
    </xf>
    <xf numFmtId="164" fontId="14" fillId="11" borderId="9" xfId="1" applyNumberFormat="1" applyFont="1" applyFill="1" applyBorder="1" applyAlignment="1">
      <alignment horizontal="center" vertical="center"/>
    </xf>
    <xf numFmtId="46" fontId="14" fillId="0" borderId="10" xfId="1" applyNumberFormat="1" applyFont="1" applyBorder="1" applyAlignment="1">
      <alignment horizontal="center" vertical="center"/>
    </xf>
    <xf numFmtId="164" fontId="14" fillId="7" borderId="9" xfId="1" applyNumberFormat="1" applyFont="1" applyFill="1" applyBorder="1" applyAlignment="1">
      <alignment vertical="center"/>
    </xf>
    <xf numFmtId="0" fontId="16" fillId="0" borderId="8" xfId="3" applyNumberFormat="1" applyFont="1" applyBorder="1" applyAlignment="1">
      <alignment horizontal="center" vertical="center"/>
    </xf>
    <xf numFmtId="0" fontId="0" fillId="2" borderId="9" xfId="0" applyFill="1" applyBorder="1"/>
    <xf numFmtId="0" fontId="12" fillId="2" borderId="9" xfId="2" applyFont="1" applyFill="1" applyBorder="1" applyAlignment="1">
      <alignment vertical="center"/>
    </xf>
    <xf numFmtId="0" fontId="13" fillId="4" borderId="9" xfId="1" applyNumberFormat="1" applyFont="1" applyFill="1" applyBorder="1" applyAlignment="1">
      <alignment vertical="center"/>
    </xf>
    <xf numFmtId="0" fontId="14" fillId="5" borderId="9" xfId="1" applyNumberFormat="1" applyFont="1" applyFill="1" applyBorder="1" applyAlignment="1">
      <alignment horizontal="center" vertical="center"/>
    </xf>
    <xf numFmtId="0" fontId="16" fillId="0" borderId="9" xfId="3" applyNumberFormat="1" applyFont="1" applyBorder="1" applyAlignment="1">
      <alignment horizontal="center" vertical="center"/>
    </xf>
    <xf numFmtId="0" fontId="16" fillId="6" borderId="9" xfId="3" applyNumberFormat="1" applyFont="1" applyFill="1" applyBorder="1" applyAlignment="1">
      <alignment horizontal="center" vertical="center"/>
    </xf>
    <xf numFmtId="46" fontId="14" fillId="4" borderId="9" xfId="1" applyNumberFormat="1" applyFont="1" applyFill="1" applyBorder="1" applyAlignment="1">
      <alignment horizontal="center" vertical="center"/>
    </xf>
    <xf numFmtId="0" fontId="16" fillId="10" borderId="9" xfId="3" applyNumberFormat="1" applyFont="1" applyFill="1" applyBorder="1" applyAlignment="1">
      <alignment horizontal="center" vertical="center"/>
    </xf>
    <xf numFmtId="46" fontId="14" fillId="0" borderId="9" xfId="1" applyNumberFormat="1" applyFont="1" applyBorder="1" applyAlignment="1">
      <alignment horizontal="center" vertical="center"/>
    </xf>
    <xf numFmtId="0" fontId="0" fillId="2" borderId="4" xfId="0" applyFill="1" applyBorder="1"/>
    <xf numFmtId="164" fontId="18" fillId="10" borderId="10" xfId="1" applyNumberFormat="1" applyFont="1" applyFill="1" applyBorder="1" applyAlignment="1">
      <alignment horizontal="center" vertical="center"/>
    </xf>
    <xf numFmtId="0" fontId="0" fillId="2" borderId="18" xfId="0" applyFill="1" applyBorder="1"/>
    <xf numFmtId="0" fontId="12" fillId="2" borderId="1" xfId="2" applyFont="1" applyFill="1" applyBorder="1" applyAlignment="1">
      <alignment vertical="center"/>
    </xf>
    <xf numFmtId="164" fontId="14" fillId="13" borderId="9" xfId="1" applyNumberFormat="1" applyFont="1" applyFill="1" applyBorder="1" applyAlignment="1">
      <alignment horizontal="center" vertical="center"/>
    </xf>
    <xf numFmtId="164" fontId="14" fillId="14" borderId="9" xfId="1" applyNumberFormat="1" applyFont="1" applyFill="1" applyBorder="1" applyAlignment="1">
      <alignment horizontal="center" vertical="center"/>
    </xf>
    <xf numFmtId="164" fontId="14" fillId="15" borderId="9" xfId="1" applyNumberFormat="1" applyFont="1" applyFill="1" applyBorder="1" applyAlignment="1">
      <alignment vertical="center"/>
    </xf>
    <xf numFmtId="164" fontId="14" fillId="16" borderId="9" xfId="1" applyNumberFormat="1" applyFont="1" applyFill="1" applyBorder="1" applyAlignment="1">
      <alignment horizontal="center" vertical="center"/>
    </xf>
    <xf numFmtId="165" fontId="14" fillId="5" borderId="12" xfId="1" applyNumberFormat="1" applyFont="1" applyFill="1" applyBorder="1" applyAlignment="1">
      <alignment horizontal="center" vertical="center" wrapText="1"/>
    </xf>
    <xf numFmtId="165" fontId="14" fillId="5" borderId="13" xfId="1" applyNumberFormat="1" applyFont="1" applyFill="1" applyBorder="1" applyAlignment="1">
      <alignment horizontal="center" vertical="center" wrapText="1"/>
    </xf>
    <xf numFmtId="0" fontId="11" fillId="3" borderId="16" xfId="2" applyFont="1" applyFill="1" applyBorder="1" applyAlignment="1">
      <alignment horizontal="center" vertical="center"/>
    </xf>
    <xf numFmtId="0" fontId="11" fillId="3" borderId="17" xfId="2" applyFont="1" applyFill="1" applyBorder="1" applyAlignment="1">
      <alignment horizontal="center" vertical="center"/>
    </xf>
    <xf numFmtId="0" fontId="11" fillId="3" borderId="2" xfId="2" applyFont="1" applyFill="1" applyBorder="1" applyAlignment="1">
      <alignment horizontal="center" vertical="center"/>
    </xf>
    <xf numFmtId="0" fontId="11" fillId="3" borderId="3" xfId="2" applyFont="1" applyFill="1" applyBorder="1" applyAlignment="1">
      <alignment horizontal="center" vertical="center"/>
    </xf>
    <xf numFmtId="0" fontId="14" fillId="5" borderId="14" xfId="1" applyNumberFormat="1" applyFont="1" applyFill="1" applyBorder="1" applyAlignment="1">
      <alignment horizontal="center" vertical="center"/>
    </xf>
    <xf numFmtId="0" fontId="14" fillId="5" borderId="15" xfId="1" applyNumberFormat="1" applyFont="1" applyFill="1" applyBorder="1" applyAlignment="1">
      <alignment horizontal="center" vertical="center"/>
    </xf>
    <xf numFmtId="165" fontId="14" fillId="5" borderId="9" xfId="1" applyNumberFormat="1" applyFont="1" applyFill="1" applyBorder="1" applyAlignment="1">
      <alignment horizontal="center" vertical="center" wrapText="1"/>
    </xf>
    <xf numFmtId="0" fontId="3" fillId="3" borderId="2" xfId="2" applyFont="1" applyFill="1" applyBorder="1" applyAlignment="1">
      <alignment horizontal="center" vertical="center"/>
    </xf>
    <xf numFmtId="0" fontId="3" fillId="3" borderId="3" xfId="2" applyFont="1" applyFill="1" applyBorder="1" applyAlignment="1">
      <alignment horizontal="center" vertical="center"/>
    </xf>
    <xf numFmtId="0" fontId="6" fillId="5" borderId="6" xfId="1" applyNumberFormat="1" applyFont="1" applyFill="1" applyBorder="1" applyAlignment="1" applyProtection="1">
      <alignment horizontal="center" vertical="center"/>
    </xf>
    <xf numFmtId="165" fontId="6" fillId="5" borderId="9" xfId="1" applyNumberFormat="1" applyFont="1" applyFill="1" applyBorder="1" applyAlignment="1" applyProtection="1">
      <alignment horizontal="center" vertical="center" wrapText="1"/>
    </xf>
    <xf numFmtId="165" fontId="6" fillId="5" borderId="9" xfId="1" applyNumberFormat="1" applyFont="1" applyFill="1" applyBorder="1" applyAlignment="1" applyProtection="1">
      <alignment horizontal="center" vertical="center"/>
    </xf>
    <xf numFmtId="165" fontId="6" fillId="5" borderId="12" xfId="1" applyNumberFormat="1" applyFont="1" applyFill="1" applyBorder="1" applyAlignment="1" applyProtection="1">
      <alignment horizontal="center" vertical="center" wrapText="1"/>
    </xf>
    <xf numFmtId="165" fontId="6" fillId="5" borderId="13" xfId="1" applyNumberFormat="1" applyFont="1" applyFill="1" applyBorder="1" applyAlignment="1" applyProtection="1">
      <alignment horizontal="center" vertical="center" wrapText="1"/>
    </xf>
    <xf numFmtId="0" fontId="6" fillId="5" borderId="14" xfId="1" applyNumberFormat="1" applyFont="1" applyFill="1" applyBorder="1" applyAlignment="1" applyProtection="1">
      <alignment horizontal="center" vertical="center"/>
    </xf>
    <xf numFmtId="0" fontId="6" fillId="5" borderId="15" xfId="1" applyNumberFormat="1" applyFont="1" applyFill="1" applyBorder="1" applyAlignment="1" applyProtection="1">
      <alignment horizontal="center" vertical="center"/>
    </xf>
    <xf numFmtId="0" fontId="11" fillId="3" borderId="9" xfId="2" applyFont="1" applyFill="1" applyBorder="1" applyAlignment="1">
      <alignment horizontal="center" vertical="center"/>
    </xf>
    <xf numFmtId="0" fontId="14" fillId="5" borderId="9" xfId="1" applyNumberFormat="1" applyFont="1" applyFill="1" applyBorder="1" applyAlignment="1">
      <alignment horizontal="center" vertical="center"/>
    </xf>
  </cellXfs>
  <cellStyles count="4">
    <cellStyle name="Excel Built-in Normal 1" xfId="2" xr:uid="{527ABDB1-6A1A-4EB5-ABE9-B5F89949811E}"/>
    <cellStyle name="Excel Built-in Percent 1" xfId="3" xr:uid="{4E82428B-5B90-44E3-A0BA-6ECFED3BC711}"/>
    <cellStyle name="Normal" xfId="0" builtinId="0"/>
    <cellStyle name="Pourcentage" xfId="1" builtinId="5"/>
  </cellStyles>
  <dxfs count="0"/>
  <tableStyles count="0" defaultTableStyle="TableStyleMedium2" defaultPivotStyle="PivotStyleLight16"/>
  <colors>
    <mruColors>
      <color rgb="FFE410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36"/>
  <sheetViews>
    <sheetView workbookViewId="0">
      <selection activeCell="J7" sqref="J7:O7"/>
    </sheetView>
  </sheetViews>
  <sheetFormatPr baseColWidth="10" defaultColWidth="11.109375" defaultRowHeight="14.4" x14ac:dyDescent="0.3"/>
  <cols>
    <col min="1" max="1" width="9.88671875" bestFit="1" customWidth="1"/>
  </cols>
  <sheetData>
    <row r="1" spans="1:29" ht="15" thickBot="1" x14ac:dyDescent="0.35">
      <c r="A1" s="1" cm="1">
        <f t="array" aca="1" ref="A1" ca="1">+A1:PA1:P+A1:P35+A1:P363628A1:P2A1:P33</f>
        <v>0</v>
      </c>
      <c r="B1" s="67" t="s">
        <v>0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8"/>
    </row>
    <row r="2" spans="1:29" ht="15" thickBot="1" x14ac:dyDescent="0.35">
      <c r="A2" s="2"/>
      <c r="B2" s="67" t="s">
        <v>23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8"/>
    </row>
    <row r="3" spans="1:29" x14ac:dyDescent="0.3">
      <c r="A3" s="3"/>
      <c r="B3" s="69" t="s">
        <v>1</v>
      </c>
      <c r="C3" s="69"/>
      <c r="D3" s="69" t="s">
        <v>2</v>
      </c>
      <c r="E3" s="69"/>
      <c r="F3" s="69" t="s">
        <v>3</v>
      </c>
      <c r="G3" s="69"/>
      <c r="H3" s="69" t="s">
        <v>4</v>
      </c>
      <c r="I3" s="69"/>
      <c r="J3" s="69" t="s">
        <v>5</v>
      </c>
      <c r="K3" s="69"/>
      <c r="L3" s="69" t="s">
        <v>6</v>
      </c>
      <c r="M3" s="69"/>
      <c r="N3" s="69" t="s">
        <v>7</v>
      </c>
      <c r="O3" s="69"/>
      <c r="P3" s="4" t="s">
        <v>8</v>
      </c>
      <c r="W3" s="5" t="e">
        <f t="shared" ref="W3:W19" si="0">C3-B3</f>
        <v>#VALUE!</v>
      </c>
      <c r="X3" s="5" t="e">
        <f t="shared" ref="X3:X19" si="1">E3-D3</f>
        <v>#VALUE!</v>
      </c>
      <c r="Y3" s="5" t="e">
        <f t="shared" ref="Y3:Y19" si="2">G3-F3</f>
        <v>#VALUE!</v>
      </c>
      <c r="Z3" s="5" t="e">
        <f t="shared" ref="Z3:Z19" si="3">I3-H3</f>
        <v>#VALUE!</v>
      </c>
      <c r="AA3" s="5" t="e">
        <f t="shared" ref="AA3:AA19" si="4">K3-J3</f>
        <v>#VALUE!</v>
      </c>
      <c r="AB3" s="5" t="e">
        <f t="shared" ref="AB3:AB19" si="5">M3-L3</f>
        <v>#VALUE!</v>
      </c>
      <c r="AC3" s="5" t="e">
        <f t="shared" ref="AC3:AC19" si="6">O3-N3</f>
        <v>#VALUE!</v>
      </c>
    </row>
    <row r="4" spans="1:29" x14ac:dyDescent="0.3">
      <c r="A4" s="6"/>
      <c r="B4" s="70">
        <v>46020</v>
      </c>
      <c r="C4" s="71"/>
      <c r="D4" s="70">
        <v>46021</v>
      </c>
      <c r="E4" s="71"/>
      <c r="F4" s="70">
        <v>46022</v>
      </c>
      <c r="G4" s="71"/>
      <c r="H4" s="70">
        <v>46023</v>
      </c>
      <c r="I4" s="71"/>
      <c r="J4" s="70">
        <v>46024</v>
      </c>
      <c r="K4" s="71"/>
      <c r="L4" s="70">
        <v>46025</v>
      </c>
      <c r="M4" s="71"/>
      <c r="N4" s="70">
        <v>46026</v>
      </c>
      <c r="O4" s="71"/>
      <c r="P4" s="7"/>
      <c r="W4" s="5">
        <f t="shared" si="0"/>
        <v>-46020</v>
      </c>
      <c r="X4" s="5">
        <f t="shared" si="1"/>
        <v>-46021</v>
      </c>
      <c r="Y4" s="5">
        <f t="shared" si="2"/>
        <v>-46022</v>
      </c>
      <c r="Z4" s="5">
        <f t="shared" si="3"/>
        <v>-46023</v>
      </c>
      <c r="AA4" s="5">
        <f t="shared" si="4"/>
        <v>-46024</v>
      </c>
      <c r="AB4" s="5">
        <f t="shared" si="5"/>
        <v>-46025</v>
      </c>
      <c r="AC4" s="5">
        <f t="shared" si="6"/>
        <v>-46026</v>
      </c>
    </row>
    <row r="5" spans="1:29" x14ac:dyDescent="0.3">
      <c r="A5" s="8" t="s">
        <v>9</v>
      </c>
      <c r="B5" s="72"/>
      <c r="C5" s="73"/>
      <c r="D5" s="72"/>
      <c r="E5" s="73"/>
      <c r="F5" s="72"/>
      <c r="G5" s="73"/>
      <c r="H5" s="72"/>
      <c r="I5" s="73"/>
      <c r="J5" s="72"/>
      <c r="K5" s="73"/>
      <c r="L5" s="72"/>
      <c r="M5" s="73"/>
      <c r="N5" s="72"/>
      <c r="O5" s="73"/>
      <c r="P5" s="7"/>
      <c r="W5" s="5">
        <f t="shared" si="0"/>
        <v>0</v>
      </c>
      <c r="X5" s="5">
        <f t="shared" si="1"/>
        <v>0</v>
      </c>
      <c r="Y5" s="5">
        <f t="shared" si="2"/>
        <v>0</v>
      </c>
      <c r="Z5" s="5">
        <f t="shared" si="3"/>
        <v>0</v>
      </c>
      <c r="AA5" s="5">
        <f t="shared" si="4"/>
        <v>0</v>
      </c>
      <c r="AB5" s="5">
        <f t="shared" si="5"/>
        <v>0</v>
      </c>
      <c r="AC5" s="5">
        <f t="shared" si="6"/>
        <v>0</v>
      </c>
    </row>
    <row r="6" spans="1:29" x14ac:dyDescent="0.3">
      <c r="A6" s="9" t="s">
        <v>10</v>
      </c>
      <c r="B6" s="10"/>
      <c r="C6" s="10"/>
      <c r="D6" s="11">
        <v>0.39583333333333331</v>
      </c>
      <c r="E6" s="11">
        <v>0.72916666666666663</v>
      </c>
      <c r="F6" s="11">
        <v>0.375</v>
      </c>
      <c r="G6" s="11">
        <v>0.72916666666666663</v>
      </c>
      <c r="H6" s="11">
        <v>0.41666666666666669</v>
      </c>
      <c r="I6" s="11">
        <v>0.72916666666666663</v>
      </c>
      <c r="J6" s="11">
        <v>0.375</v>
      </c>
      <c r="K6" s="11">
        <v>0.70833333333333337</v>
      </c>
      <c r="L6" s="11">
        <v>0.41666666666666669</v>
      </c>
      <c r="M6" s="11">
        <v>0.70833333333333337</v>
      </c>
      <c r="N6" s="10"/>
      <c r="O6" s="10"/>
      <c r="P6" s="12">
        <f>W6+X6+Y6+Z6+AA6+AB6+AC6</f>
        <v>1.6250000000000002</v>
      </c>
      <c r="W6" s="5">
        <f t="shared" si="0"/>
        <v>0</v>
      </c>
      <c r="X6" s="5">
        <f t="shared" si="1"/>
        <v>0.33333333333333331</v>
      </c>
      <c r="Y6" s="5">
        <f t="shared" si="2"/>
        <v>0.35416666666666663</v>
      </c>
      <c r="Z6" s="5">
        <f t="shared" si="3"/>
        <v>0.31249999999999994</v>
      </c>
      <c r="AA6" s="5">
        <f t="shared" si="4"/>
        <v>0.33333333333333337</v>
      </c>
      <c r="AB6" s="5">
        <f t="shared" si="5"/>
        <v>0.29166666666666669</v>
      </c>
      <c r="AC6" s="5">
        <f t="shared" si="6"/>
        <v>0</v>
      </c>
    </row>
    <row r="7" spans="1:29" x14ac:dyDescent="0.3">
      <c r="A7" s="13" t="s">
        <v>11</v>
      </c>
      <c r="B7" s="14">
        <v>0.39583333333333331</v>
      </c>
      <c r="C7" s="14">
        <v>0.72916666666666663</v>
      </c>
      <c r="D7" s="10"/>
      <c r="E7" s="10"/>
      <c r="F7" s="17">
        <v>0.75</v>
      </c>
      <c r="G7" s="17">
        <v>1.0625</v>
      </c>
      <c r="H7" s="14">
        <v>0.5</v>
      </c>
      <c r="I7" s="14">
        <v>0.72916666666666663</v>
      </c>
      <c r="J7" s="14">
        <v>0.39583333333333331</v>
      </c>
      <c r="K7" s="14">
        <v>0.72916666666666663</v>
      </c>
      <c r="L7" s="14">
        <v>0.39583333333333331</v>
      </c>
      <c r="M7" s="14">
        <v>0.70833333333333337</v>
      </c>
      <c r="N7" s="14">
        <v>0.39583333333333331</v>
      </c>
      <c r="O7" s="14">
        <v>0.70833333333333337</v>
      </c>
      <c r="P7" s="12">
        <f>W7+X7+Y7+Z7+AA7+AB7+AC7</f>
        <v>1.8333333333333333</v>
      </c>
      <c r="W7" s="5">
        <f t="shared" si="0"/>
        <v>0.33333333333333331</v>
      </c>
      <c r="X7" s="5">
        <f t="shared" si="1"/>
        <v>0</v>
      </c>
      <c r="Y7" s="5">
        <f t="shared" si="2"/>
        <v>0.3125</v>
      </c>
      <c r="Z7" s="5">
        <f t="shared" si="3"/>
        <v>0.22916666666666663</v>
      </c>
      <c r="AA7" s="5">
        <f t="shared" si="4"/>
        <v>0.33333333333333331</v>
      </c>
      <c r="AB7" s="5">
        <f t="shared" si="5"/>
        <v>0.31250000000000006</v>
      </c>
      <c r="AC7" s="5">
        <f t="shared" si="6"/>
        <v>0.31250000000000006</v>
      </c>
    </row>
    <row r="8" spans="1:29" x14ac:dyDescent="0.3">
      <c r="A8" s="13" t="s">
        <v>12</v>
      </c>
      <c r="B8" s="14">
        <v>0.41666666666666669</v>
      </c>
      <c r="C8" s="14">
        <v>0.70833333333333337</v>
      </c>
      <c r="D8" s="14">
        <v>0.41666666666666669</v>
      </c>
      <c r="E8" s="14">
        <v>0.70833333333333337</v>
      </c>
      <c r="F8" s="14">
        <v>0.41666666666666669</v>
      </c>
      <c r="G8" s="14">
        <v>0.70833333333333337</v>
      </c>
      <c r="H8" s="14">
        <v>0.41666666666666669</v>
      </c>
      <c r="I8" s="14">
        <v>0.70833333333333337</v>
      </c>
      <c r="J8" s="14">
        <v>0.41666666666666669</v>
      </c>
      <c r="K8" s="14">
        <v>0.70833333333333337</v>
      </c>
      <c r="L8" s="10"/>
      <c r="M8" s="10"/>
      <c r="N8" s="10"/>
      <c r="O8" s="10"/>
      <c r="P8" s="12">
        <f>W8+X8+Y8+Z8+AA8+AB8+AC8</f>
        <v>1.4583333333333335</v>
      </c>
      <c r="W8" s="5">
        <f t="shared" si="0"/>
        <v>0.29166666666666669</v>
      </c>
      <c r="X8" s="5">
        <f t="shared" si="1"/>
        <v>0.29166666666666669</v>
      </c>
      <c r="Y8" s="5">
        <f t="shared" si="2"/>
        <v>0.29166666666666669</v>
      </c>
      <c r="Z8" s="5">
        <f t="shared" si="3"/>
        <v>0.29166666666666669</v>
      </c>
      <c r="AA8" s="5">
        <f t="shared" si="4"/>
        <v>0.29166666666666669</v>
      </c>
      <c r="AB8" s="5">
        <f t="shared" si="5"/>
        <v>0</v>
      </c>
      <c r="AC8" s="5">
        <f t="shared" si="6"/>
        <v>0</v>
      </c>
    </row>
    <row r="9" spans="1:29" x14ac:dyDescent="0.3">
      <c r="A9" s="8" t="s">
        <v>13</v>
      </c>
      <c r="B9" s="14">
        <v>0.39583333333333331</v>
      </c>
      <c r="C9" s="14">
        <v>0.72916666666666663</v>
      </c>
      <c r="D9" s="14">
        <v>0.39583333333333331</v>
      </c>
      <c r="E9" s="14">
        <v>0.72916666666666663</v>
      </c>
      <c r="F9" s="17">
        <v>0.75</v>
      </c>
      <c r="G9" s="17">
        <v>1.0625</v>
      </c>
      <c r="H9" s="14">
        <v>0.5</v>
      </c>
      <c r="I9" s="14">
        <v>0.72916666666666663</v>
      </c>
      <c r="J9" s="14">
        <v>0.375</v>
      </c>
      <c r="K9" s="14">
        <v>0.70833333333333337</v>
      </c>
      <c r="L9" s="14">
        <v>0.39583333333333331</v>
      </c>
      <c r="M9" s="14">
        <v>0.70833333333333337</v>
      </c>
      <c r="N9" s="14">
        <v>0.39583333333333298</v>
      </c>
      <c r="O9" s="14">
        <v>0.70833333333333337</v>
      </c>
      <c r="P9" s="12">
        <f t="shared" ref="P9:P11" si="7">W9+X9+Y9+Z9+AA9+AB9+AC9</f>
        <v>2.166666666666667</v>
      </c>
      <c r="W9" s="5">
        <f t="shared" si="0"/>
        <v>0.33333333333333331</v>
      </c>
      <c r="X9" s="5">
        <f t="shared" si="1"/>
        <v>0.33333333333333331</v>
      </c>
      <c r="Y9" s="5">
        <f t="shared" si="2"/>
        <v>0.3125</v>
      </c>
      <c r="Z9" s="5">
        <f t="shared" si="3"/>
        <v>0.22916666666666663</v>
      </c>
      <c r="AA9" s="5">
        <f t="shared" si="4"/>
        <v>0.33333333333333337</v>
      </c>
      <c r="AB9" s="5">
        <f t="shared" si="5"/>
        <v>0.31250000000000006</v>
      </c>
      <c r="AC9" s="5">
        <f t="shared" si="6"/>
        <v>0.31250000000000039</v>
      </c>
    </row>
    <row r="10" spans="1:29" x14ac:dyDescent="0.3">
      <c r="A10" s="8" t="s">
        <v>14</v>
      </c>
      <c r="B10" s="17">
        <v>0.72916666666666663</v>
      </c>
      <c r="C10" s="17">
        <v>1.0208333333333299</v>
      </c>
      <c r="D10" s="14">
        <v>0.39583333333333331</v>
      </c>
      <c r="E10" s="14">
        <v>0.70833333333333337</v>
      </c>
      <c r="F10" s="14">
        <v>0.375</v>
      </c>
      <c r="G10" s="14">
        <v>0.75</v>
      </c>
      <c r="H10" s="14">
        <v>0.39583333333333331</v>
      </c>
      <c r="I10" s="14">
        <v>0.70833333333333337</v>
      </c>
      <c r="J10" s="14">
        <v>0.375</v>
      </c>
      <c r="K10" s="14">
        <v>0.70833333333333337</v>
      </c>
      <c r="L10" s="14">
        <v>0.41666666666666669</v>
      </c>
      <c r="M10" s="14">
        <v>0.70833333333333337</v>
      </c>
      <c r="N10" s="10"/>
      <c r="O10" s="10"/>
      <c r="P10" s="12">
        <f t="shared" si="7"/>
        <v>1.9166666666666636</v>
      </c>
      <c r="W10" s="5">
        <f t="shared" si="0"/>
        <v>0.2916666666666633</v>
      </c>
      <c r="X10" s="5">
        <f t="shared" si="1"/>
        <v>0.31250000000000006</v>
      </c>
      <c r="Y10" s="5">
        <f t="shared" si="2"/>
        <v>0.375</v>
      </c>
      <c r="Z10" s="5">
        <f t="shared" si="3"/>
        <v>0.31250000000000006</v>
      </c>
      <c r="AA10" s="5">
        <f t="shared" si="4"/>
        <v>0.33333333333333337</v>
      </c>
      <c r="AB10" s="5">
        <f t="shared" si="5"/>
        <v>0.29166666666666669</v>
      </c>
      <c r="AC10" s="5">
        <f t="shared" si="6"/>
        <v>0</v>
      </c>
    </row>
    <row r="11" spans="1:29" x14ac:dyDescent="0.3">
      <c r="A11" s="9" t="s">
        <v>15</v>
      </c>
      <c r="B11" s="10"/>
      <c r="C11" s="10"/>
      <c r="D11" s="10"/>
      <c r="E11" s="10"/>
      <c r="F11" s="14">
        <v>0.375</v>
      </c>
      <c r="G11" s="14">
        <v>0.70833333333333337</v>
      </c>
      <c r="H11" s="14">
        <v>0.39583333333333331</v>
      </c>
      <c r="I11" s="14">
        <v>0.75</v>
      </c>
      <c r="J11" s="14">
        <v>0.41666666666666669</v>
      </c>
      <c r="K11" s="14">
        <v>0.72916666666666663</v>
      </c>
      <c r="L11" s="14">
        <v>0.39583333333333331</v>
      </c>
      <c r="M11" s="14">
        <v>0.70833333333333337</v>
      </c>
      <c r="N11" s="14">
        <v>0.39583333333333298</v>
      </c>
      <c r="O11" s="14">
        <v>0.70833333333333337</v>
      </c>
      <c r="P11" s="12">
        <f t="shared" si="7"/>
        <v>1.6250000000000004</v>
      </c>
      <c r="W11" s="5">
        <f t="shared" si="0"/>
        <v>0</v>
      </c>
      <c r="X11" s="5">
        <f t="shared" si="1"/>
        <v>0</v>
      </c>
      <c r="Y11" s="5">
        <f t="shared" si="2"/>
        <v>0.33333333333333337</v>
      </c>
      <c r="Z11" s="5">
        <f t="shared" si="3"/>
        <v>0.35416666666666669</v>
      </c>
      <c r="AA11" s="5">
        <f t="shared" si="4"/>
        <v>0.31249999999999994</v>
      </c>
      <c r="AB11" s="5">
        <f t="shared" si="5"/>
        <v>0.31250000000000006</v>
      </c>
      <c r="AC11" s="5">
        <f t="shared" si="6"/>
        <v>0.31250000000000039</v>
      </c>
    </row>
    <row r="12" spans="1:29" x14ac:dyDescent="0.3">
      <c r="A12" s="15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W12" s="5">
        <f t="shared" si="0"/>
        <v>0</v>
      </c>
      <c r="X12" s="5">
        <f t="shared" si="1"/>
        <v>0</v>
      </c>
      <c r="Y12" s="5">
        <f t="shared" si="2"/>
        <v>0</v>
      </c>
      <c r="Z12" s="5">
        <f t="shared" si="3"/>
        <v>0</v>
      </c>
      <c r="AA12" s="5">
        <f t="shared" si="4"/>
        <v>0</v>
      </c>
      <c r="AB12" s="5">
        <f t="shared" si="5"/>
        <v>0</v>
      </c>
      <c r="AC12" s="5">
        <f t="shared" si="6"/>
        <v>0</v>
      </c>
    </row>
    <row r="13" spans="1:29" x14ac:dyDescent="0.3">
      <c r="A13" s="9" t="s">
        <v>16</v>
      </c>
      <c r="B13" s="10"/>
      <c r="C13" s="10"/>
      <c r="D13" s="17">
        <v>0.70833333333333337</v>
      </c>
      <c r="E13" s="17">
        <v>1.0625</v>
      </c>
      <c r="F13" s="17">
        <v>0.72916666666666663</v>
      </c>
      <c r="G13" s="17">
        <v>1.0625</v>
      </c>
      <c r="H13" s="17">
        <v>0.70833333333333304</v>
      </c>
      <c r="I13" s="17">
        <v>1.0625</v>
      </c>
      <c r="J13" s="17">
        <v>0.70833333333333304</v>
      </c>
      <c r="K13" s="17">
        <v>1.0625</v>
      </c>
      <c r="L13" s="17">
        <v>0.70833333333333304</v>
      </c>
      <c r="M13" s="17">
        <v>1.0625</v>
      </c>
      <c r="N13" s="10"/>
      <c r="O13" s="10"/>
      <c r="P13" s="18">
        <f t="shared" ref="P13:P18" si="8">W13+X13+Y13+Z13+AA13+AB13+AC13</f>
        <v>1.7500000000000009</v>
      </c>
      <c r="W13" s="5">
        <f t="shared" si="0"/>
        <v>0</v>
      </c>
      <c r="X13" s="5">
        <f t="shared" si="1"/>
        <v>0.35416666666666663</v>
      </c>
      <c r="Y13" s="5">
        <f t="shared" si="2"/>
        <v>0.33333333333333337</v>
      </c>
      <c r="Z13" s="5">
        <f t="shared" si="3"/>
        <v>0.35416666666666696</v>
      </c>
      <c r="AA13" s="5">
        <f t="shared" si="4"/>
        <v>0.35416666666666696</v>
      </c>
      <c r="AB13" s="5">
        <f t="shared" si="5"/>
        <v>0.35416666666666696</v>
      </c>
      <c r="AC13" s="5">
        <f t="shared" si="6"/>
        <v>0</v>
      </c>
    </row>
    <row r="14" spans="1:29" x14ac:dyDescent="0.3">
      <c r="A14" s="9" t="s">
        <v>17</v>
      </c>
      <c r="B14" s="10"/>
      <c r="C14" s="10"/>
      <c r="D14" s="10"/>
      <c r="E14" s="10"/>
      <c r="F14" s="10"/>
      <c r="G14" s="10"/>
      <c r="H14" s="17">
        <v>0.6875</v>
      </c>
      <c r="I14" s="17">
        <v>1.0625</v>
      </c>
      <c r="J14" s="17">
        <v>0.70833333333333304</v>
      </c>
      <c r="K14" s="17">
        <v>1.0625</v>
      </c>
      <c r="L14" s="17">
        <v>0.6875</v>
      </c>
      <c r="M14" s="17">
        <v>1.0625</v>
      </c>
      <c r="N14" s="17">
        <v>0.6875</v>
      </c>
      <c r="O14" s="17">
        <v>1.0208333333333299</v>
      </c>
      <c r="P14" s="18">
        <f t="shared" si="8"/>
        <v>1.4374999999999969</v>
      </c>
      <c r="W14" s="5">
        <f t="shared" si="0"/>
        <v>0</v>
      </c>
      <c r="X14" s="5">
        <f t="shared" si="1"/>
        <v>0</v>
      </c>
      <c r="Y14" s="5">
        <f t="shared" si="2"/>
        <v>0</v>
      </c>
      <c r="Z14" s="5">
        <f t="shared" si="3"/>
        <v>0.375</v>
      </c>
      <c r="AA14" s="5">
        <f t="shared" si="4"/>
        <v>0.35416666666666696</v>
      </c>
      <c r="AB14" s="5">
        <f t="shared" si="5"/>
        <v>0.375</v>
      </c>
      <c r="AC14" s="5">
        <f t="shared" si="6"/>
        <v>0.33333333333332993</v>
      </c>
    </row>
    <row r="15" spans="1:29" x14ac:dyDescent="0.3">
      <c r="A15" s="19" t="s">
        <v>18</v>
      </c>
      <c r="B15" s="17">
        <v>0.72916666666666663</v>
      </c>
      <c r="C15" s="17">
        <v>1.0208333333333299</v>
      </c>
      <c r="D15" s="17">
        <v>0.70833333333333337</v>
      </c>
      <c r="E15" s="17">
        <v>1.0625</v>
      </c>
      <c r="F15" s="17">
        <v>0.75</v>
      </c>
      <c r="G15" s="17">
        <v>1.0625</v>
      </c>
      <c r="H15" s="20"/>
      <c r="I15" s="20"/>
      <c r="J15" s="20"/>
      <c r="K15" s="20"/>
      <c r="L15" s="17">
        <v>0.70833333333333337</v>
      </c>
      <c r="M15" s="17">
        <v>1.0625</v>
      </c>
      <c r="N15" s="17">
        <v>0.70833333333333337</v>
      </c>
      <c r="O15" s="17">
        <v>1.0208333333333299</v>
      </c>
      <c r="P15" s="18">
        <f t="shared" si="8"/>
        <v>1.6249999999999929</v>
      </c>
      <c r="W15" s="5">
        <f t="shared" si="0"/>
        <v>0.2916666666666633</v>
      </c>
      <c r="X15" s="5">
        <f t="shared" si="1"/>
        <v>0.35416666666666663</v>
      </c>
      <c r="Y15" s="5">
        <f t="shared" si="2"/>
        <v>0.3125</v>
      </c>
      <c r="Z15" s="5">
        <f t="shared" si="3"/>
        <v>0</v>
      </c>
      <c r="AA15" s="5">
        <f t="shared" si="4"/>
        <v>0</v>
      </c>
      <c r="AB15" s="5">
        <f t="shared" si="5"/>
        <v>0.35416666666666663</v>
      </c>
      <c r="AC15" s="5">
        <f t="shared" si="6"/>
        <v>0.31249999999999656</v>
      </c>
    </row>
    <row r="16" spans="1:29" x14ac:dyDescent="0.3">
      <c r="A16" s="8" t="s">
        <v>19</v>
      </c>
      <c r="B16" s="20"/>
      <c r="C16" s="20"/>
      <c r="D16" s="17">
        <v>0.75</v>
      </c>
      <c r="E16" s="17">
        <v>1.0625</v>
      </c>
      <c r="F16" s="17">
        <v>0.75</v>
      </c>
      <c r="G16" s="17">
        <v>1.0625</v>
      </c>
      <c r="H16" s="17">
        <v>0.75</v>
      </c>
      <c r="I16" s="17">
        <v>1.0625</v>
      </c>
      <c r="J16" s="17">
        <v>0.72916666666666663</v>
      </c>
      <c r="K16" s="17">
        <v>1.0625</v>
      </c>
      <c r="L16" s="17">
        <v>0.70833333333333337</v>
      </c>
      <c r="M16" s="17">
        <v>1.0625</v>
      </c>
      <c r="N16" s="10"/>
      <c r="O16" s="10"/>
      <c r="P16" s="12">
        <f t="shared" si="8"/>
        <v>1.625</v>
      </c>
      <c r="W16" s="5">
        <f t="shared" si="0"/>
        <v>0</v>
      </c>
      <c r="X16" s="5">
        <f t="shared" si="1"/>
        <v>0.3125</v>
      </c>
      <c r="Y16" s="5">
        <f t="shared" si="2"/>
        <v>0.3125</v>
      </c>
      <c r="Z16" s="5">
        <f t="shared" si="3"/>
        <v>0.3125</v>
      </c>
      <c r="AA16" s="5">
        <f t="shared" si="4"/>
        <v>0.33333333333333337</v>
      </c>
      <c r="AB16" s="5">
        <f t="shared" si="5"/>
        <v>0.35416666666666663</v>
      </c>
      <c r="AC16" s="5">
        <f t="shared" si="6"/>
        <v>0</v>
      </c>
    </row>
    <row r="17" spans="1:29" x14ac:dyDescent="0.3">
      <c r="A17" s="8" t="s">
        <v>20</v>
      </c>
      <c r="B17" s="17">
        <v>0.72916666666666663</v>
      </c>
      <c r="C17" s="17">
        <v>1.0625</v>
      </c>
      <c r="D17" s="10"/>
      <c r="E17" s="10"/>
      <c r="F17" s="10"/>
      <c r="G17" s="10"/>
      <c r="H17" s="17">
        <v>0.75</v>
      </c>
      <c r="I17" s="17">
        <v>1.0625</v>
      </c>
      <c r="J17" s="17">
        <v>0.75</v>
      </c>
      <c r="K17" s="17">
        <v>1.0625</v>
      </c>
      <c r="L17" s="17">
        <v>0.70833333333333337</v>
      </c>
      <c r="M17" s="17">
        <v>1.0625</v>
      </c>
      <c r="N17" s="17">
        <v>0.70833333333333337</v>
      </c>
      <c r="O17" s="17">
        <v>1.0208333333333299</v>
      </c>
      <c r="P17" s="18">
        <f t="shared" si="8"/>
        <v>1.6249999999999964</v>
      </c>
      <c r="W17" s="5">
        <f t="shared" si="0"/>
        <v>0.33333333333333337</v>
      </c>
      <c r="X17" s="5">
        <f t="shared" si="1"/>
        <v>0</v>
      </c>
      <c r="Y17" s="5">
        <f t="shared" si="2"/>
        <v>0</v>
      </c>
      <c r="Z17" s="5">
        <f t="shared" si="3"/>
        <v>0.3125</v>
      </c>
      <c r="AA17" s="5">
        <f t="shared" si="4"/>
        <v>0.3125</v>
      </c>
      <c r="AB17" s="5">
        <f t="shared" si="5"/>
        <v>0.35416666666666663</v>
      </c>
      <c r="AC17" s="5">
        <f t="shared" si="6"/>
        <v>0.31249999999999656</v>
      </c>
    </row>
    <row r="18" spans="1:29" ht="15" thickBot="1" x14ac:dyDescent="0.35">
      <c r="A18" s="9" t="s">
        <v>21</v>
      </c>
      <c r="B18" s="20"/>
      <c r="C18" s="20"/>
      <c r="D18" s="17">
        <v>0.70833333333333337</v>
      </c>
      <c r="E18" s="17">
        <v>1.0625</v>
      </c>
      <c r="F18" s="17">
        <v>0.70833333333333337</v>
      </c>
      <c r="G18" s="17">
        <v>1.0625</v>
      </c>
      <c r="H18" s="17">
        <v>0.72916666666666663</v>
      </c>
      <c r="I18" s="17">
        <v>1.0625</v>
      </c>
      <c r="J18" s="17">
        <v>0.70833333333333337</v>
      </c>
      <c r="K18" s="17">
        <v>1.0625</v>
      </c>
      <c r="L18" s="17">
        <v>0.70833333333333337</v>
      </c>
      <c r="M18" s="17">
        <v>1.0625</v>
      </c>
      <c r="N18" s="10"/>
      <c r="O18" s="10"/>
      <c r="P18" s="18">
        <f t="shared" si="8"/>
        <v>1.7499999999999996</v>
      </c>
      <c r="W18" s="5">
        <f t="shared" si="0"/>
        <v>0</v>
      </c>
      <c r="X18" s="5">
        <f t="shared" si="1"/>
        <v>0.35416666666666663</v>
      </c>
      <c r="Y18" s="5">
        <f t="shared" si="2"/>
        <v>0.35416666666666663</v>
      </c>
      <c r="Z18" s="5">
        <f t="shared" si="3"/>
        <v>0.33333333333333337</v>
      </c>
      <c r="AA18" s="5">
        <f t="shared" si="4"/>
        <v>0.35416666666666663</v>
      </c>
      <c r="AB18" s="5">
        <f t="shared" si="5"/>
        <v>0.35416666666666663</v>
      </c>
      <c r="AC18" s="5">
        <f t="shared" si="6"/>
        <v>0</v>
      </c>
    </row>
    <row r="19" spans="1:29" ht="15" thickBot="1" x14ac:dyDescent="0.35">
      <c r="A19" s="1" t="e" cm="1">
        <f t="array" ref="A19">+A19:PA19:P+A19:P363628A1:P2A1:P51</f>
        <v>#NAME?</v>
      </c>
      <c r="B19" s="67" t="s">
        <v>0</v>
      </c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8"/>
      <c r="W19" s="5" t="e">
        <f t="shared" si="0"/>
        <v>#VALUE!</v>
      </c>
      <c r="X19" s="5">
        <f t="shared" si="1"/>
        <v>0</v>
      </c>
      <c r="Y19" s="5">
        <f t="shared" si="2"/>
        <v>0</v>
      </c>
      <c r="Z19" s="5">
        <f t="shared" si="3"/>
        <v>0</v>
      </c>
      <c r="AA19" s="5">
        <f t="shared" si="4"/>
        <v>0</v>
      </c>
      <c r="AB19" s="5">
        <f t="shared" si="5"/>
        <v>0</v>
      </c>
      <c r="AC19" s="5">
        <f t="shared" si="6"/>
        <v>0</v>
      </c>
    </row>
    <row r="20" spans="1:29" ht="15" thickBot="1" x14ac:dyDescent="0.35">
      <c r="A20" s="2"/>
      <c r="B20" s="67" t="s">
        <v>23</v>
      </c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8"/>
    </row>
    <row r="21" spans="1:29" x14ac:dyDescent="0.3">
      <c r="A21" s="3"/>
      <c r="B21" s="69" t="s">
        <v>1</v>
      </c>
      <c r="C21" s="69"/>
      <c r="D21" s="69" t="s">
        <v>2</v>
      </c>
      <c r="E21" s="69"/>
      <c r="F21" s="69" t="s">
        <v>3</v>
      </c>
      <c r="G21" s="69"/>
      <c r="H21" s="69" t="s">
        <v>4</v>
      </c>
      <c r="I21" s="69"/>
      <c r="J21" s="69" t="s">
        <v>5</v>
      </c>
      <c r="K21" s="69"/>
      <c r="L21" s="69" t="s">
        <v>6</v>
      </c>
      <c r="M21" s="69"/>
      <c r="N21" s="69" t="s">
        <v>7</v>
      </c>
      <c r="O21" s="69"/>
      <c r="P21" s="4" t="s">
        <v>8</v>
      </c>
    </row>
    <row r="22" spans="1:29" x14ac:dyDescent="0.3">
      <c r="A22" s="6"/>
      <c r="B22" s="70">
        <v>46020</v>
      </c>
      <c r="C22" s="71"/>
      <c r="D22" s="70">
        <v>46021</v>
      </c>
      <c r="E22" s="71"/>
      <c r="F22" s="70">
        <v>46022</v>
      </c>
      <c r="G22" s="71"/>
      <c r="H22" s="70">
        <v>46023</v>
      </c>
      <c r="I22" s="71"/>
      <c r="J22" s="70">
        <v>46024</v>
      </c>
      <c r="K22" s="71"/>
      <c r="L22" s="70">
        <v>46025</v>
      </c>
      <c r="M22" s="71"/>
      <c r="N22" s="70">
        <v>46026</v>
      </c>
      <c r="O22" s="71"/>
      <c r="P22" s="7"/>
    </row>
    <row r="23" spans="1:29" ht="15" customHeight="1" x14ac:dyDescent="0.3">
      <c r="A23" s="8" t="s">
        <v>9</v>
      </c>
      <c r="B23" s="72"/>
      <c r="C23" s="73"/>
      <c r="D23" s="72"/>
      <c r="E23" s="73"/>
      <c r="F23" s="72"/>
      <c r="G23" s="73"/>
      <c r="H23" s="72"/>
      <c r="I23" s="73"/>
      <c r="J23" s="72"/>
      <c r="K23" s="73"/>
      <c r="L23" s="72"/>
      <c r="M23" s="73"/>
      <c r="N23" s="72"/>
      <c r="O23" s="73"/>
      <c r="P23" s="7"/>
    </row>
    <row r="24" spans="1:29" x14ac:dyDescent="0.3">
      <c r="A24" s="9" t="s">
        <v>10</v>
      </c>
      <c r="B24" s="10"/>
      <c r="C24" s="10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0"/>
      <c r="O24" s="10"/>
      <c r="P24" s="12"/>
    </row>
    <row r="25" spans="1:29" x14ac:dyDescent="0.3">
      <c r="A25" s="13" t="s">
        <v>11</v>
      </c>
      <c r="B25" s="14"/>
      <c r="C25" s="14"/>
      <c r="D25" s="10"/>
      <c r="E25" s="10"/>
      <c r="F25" s="17"/>
      <c r="G25" s="17"/>
      <c r="H25" s="14"/>
      <c r="I25" s="14"/>
      <c r="J25" s="14"/>
      <c r="K25" s="14"/>
      <c r="L25" s="14"/>
      <c r="M25" s="14"/>
      <c r="N25" s="14"/>
      <c r="O25" s="14"/>
      <c r="P25" s="12"/>
    </row>
    <row r="26" spans="1:29" x14ac:dyDescent="0.3">
      <c r="A26" s="13" t="s">
        <v>12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0"/>
      <c r="M26" s="10"/>
      <c r="N26" s="10"/>
      <c r="O26" s="10"/>
      <c r="P26" s="12"/>
    </row>
    <row r="27" spans="1:29" x14ac:dyDescent="0.3">
      <c r="A27" s="8" t="s">
        <v>13</v>
      </c>
      <c r="B27" s="14"/>
      <c r="C27" s="14"/>
      <c r="D27" s="14"/>
      <c r="E27" s="14"/>
      <c r="F27" s="17"/>
      <c r="G27" s="17"/>
      <c r="H27" s="14"/>
      <c r="I27" s="14"/>
      <c r="J27" s="14"/>
      <c r="K27" s="14"/>
      <c r="L27" s="14"/>
      <c r="M27" s="14"/>
      <c r="N27" s="14"/>
      <c r="O27" s="14"/>
      <c r="P27" s="12"/>
    </row>
    <row r="28" spans="1:29" x14ac:dyDescent="0.3">
      <c r="A28" s="8" t="s">
        <v>14</v>
      </c>
      <c r="B28" s="17"/>
      <c r="C28" s="17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0"/>
      <c r="O28" s="10"/>
      <c r="P28" s="12"/>
    </row>
    <row r="29" spans="1:29" x14ac:dyDescent="0.3">
      <c r="A29" s="9" t="s">
        <v>15</v>
      </c>
      <c r="B29" s="10"/>
      <c r="C29" s="10"/>
      <c r="D29" s="10"/>
      <c r="E29" s="10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2"/>
    </row>
    <row r="30" spans="1:29" x14ac:dyDescent="0.3">
      <c r="A30" s="15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</row>
    <row r="31" spans="1:29" x14ac:dyDescent="0.3">
      <c r="A31" s="9" t="s">
        <v>16</v>
      </c>
      <c r="B31" s="10"/>
      <c r="C31" s="10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0"/>
      <c r="O31" s="10"/>
      <c r="P31" s="18"/>
    </row>
    <row r="32" spans="1:29" x14ac:dyDescent="0.3">
      <c r="A32" s="9" t="s">
        <v>17</v>
      </c>
      <c r="B32" s="10"/>
      <c r="C32" s="10"/>
      <c r="D32" s="10"/>
      <c r="E32" s="10"/>
      <c r="F32" s="10"/>
      <c r="G32" s="10"/>
      <c r="H32" s="17"/>
      <c r="I32" s="17"/>
      <c r="J32" s="17"/>
      <c r="K32" s="17"/>
      <c r="L32" s="17"/>
      <c r="M32" s="17"/>
      <c r="N32" s="17"/>
      <c r="O32" s="17"/>
      <c r="P32" s="18"/>
    </row>
    <row r="33" spans="1:16" x14ac:dyDescent="0.3">
      <c r="A33" s="19" t="s">
        <v>22</v>
      </c>
      <c r="B33" s="17"/>
      <c r="C33" s="17"/>
      <c r="D33" s="17"/>
      <c r="E33" s="17"/>
      <c r="F33" s="17"/>
      <c r="G33" s="17"/>
      <c r="H33" s="20"/>
      <c r="I33" s="20"/>
      <c r="J33" s="20"/>
      <c r="K33" s="20"/>
      <c r="L33" s="17"/>
      <c r="M33" s="17"/>
      <c r="N33" s="17"/>
      <c r="O33" s="17"/>
      <c r="P33" s="18"/>
    </row>
    <row r="34" spans="1:16" x14ac:dyDescent="0.3">
      <c r="A34" s="8" t="s">
        <v>19</v>
      </c>
      <c r="B34" s="20"/>
      <c r="C34" s="20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0"/>
      <c r="O34" s="10"/>
      <c r="P34" s="12"/>
    </row>
    <row r="35" spans="1:16" x14ac:dyDescent="0.3">
      <c r="A35" s="8" t="s">
        <v>20</v>
      </c>
      <c r="B35" s="17"/>
      <c r="C35" s="17"/>
      <c r="D35" s="10"/>
      <c r="E35" s="10"/>
      <c r="F35" s="10"/>
      <c r="G35" s="10"/>
      <c r="H35" s="17"/>
      <c r="I35" s="17"/>
      <c r="J35" s="17"/>
      <c r="K35" s="17"/>
      <c r="L35" s="17"/>
      <c r="M35" s="17"/>
      <c r="N35" s="17"/>
      <c r="O35" s="17"/>
      <c r="P35" s="18"/>
    </row>
    <row r="36" spans="1:16" x14ac:dyDescent="0.3">
      <c r="A36" s="9" t="s">
        <v>21</v>
      </c>
      <c r="B36" s="20"/>
      <c r="C36" s="20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0"/>
      <c r="O36" s="10"/>
      <c r="P36" s="18"/>
    </row>
  </sheetData>
  <mergeCells count="46">
    <mergeCell ref="N22:O22"/>
    <mergeCell ref="B23:C23"/>
    <mergeCell ref="D23:E23"/>
    <mergeCell ref="F23:G23"/>
    <mergeCell ref="H23:I23"/>
    <mergeCell ref="J23:K23"/>
    <mergeCell ref="L23:M23"/>
    <mergeCell ref="N23:O23"/>
    <mergeCell ref="B22:C22"/>
    <mergeCell ref="D22:E22"/>
    <mergeCell ref="F22:G22"/>
    <mergeCell ref="H22:I22"/>
    <mergeCell ref="J22:K22"/>
    <mergeCell ref="L22:M22"/>
    <mergeCell ref="B19:P19"/>
    <mergeCell ref="B20:P20"/>
    <mergeCell ref="B21:C21"/>
    <mergeCell ref="D21:E21"/>
    <mergeCell ref="F21:G21"/>
    <mergeCell ref="H21:I21"/>
    <mergeCell ref="J21:K21"/>
    <mergeCell ref="L21:M21"/>
    <mergeCell ref="N21:O21"/>
    <mergeCell ref="N4:O4"/>
    <mergeCell ref="B5:C5"/>
    <mergeCell ref="D5:E5"/>
    <mergeCell ref="F5:G5"/>
    <mergeCell ref="H5:I5"/>
    <mergeCell ref="J5:K5"/>
    <mergeCell ref="L5:M5"/>
    <mergeCell ref="N5:O5"/>
    <mergeCell ref="B4:C4"/>
    <mergeCell ref="D4:E4"/>
    <mergeCell ref="F4:G4"/>
    <mergeCell ref="H4:I4"/>
    <mergeCell ref="J4:K4"/>
    <mergeCell ref="L4:M4"/>
    <mergeCell ref="B1:P1"/>
    <mergeCell ref="B2:P2"/>
    <mergeCell ref="B3:C3"/>
    <mergeCell ref="D3:E3"/>
    <mergeCell ref="F3:G3"/>
    <mergeCell ref="H3:I3"/>
    <mergeCell ref="J3:K3"/>
    <mergeCell ref="L3:M3"/>
    <mergeCell ref="N3:O3"/>
  </mergeCells>
  <pageMargins left="0.7" right="0.7" top="0.75" bottom="0.75" header="0.3" footer="0.3"/>
  <pageSetup paperSize="9" scale="4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A11CA-5C0C-4031-B242-8AA8FF46D93A}">
  <sheetPr>
    <pageSetUpPr fitToPage="1"/>
  </sheetPr>
  <dimension ref="A1:AC36"/>
  <sheetViews>
    <sheetView topLeftCell="A3" workbookViewId="0">
      <selection activeCell="M10" sqref="D10:M10"/>
    </sheetView>
  </sheetViews>
  <sheetFormatPr baseColWidth="10" defaultRowHeight="14.4" x14ac:dyDescent="0.3"/>
  <sheetData>
    <row r="1" spans="1:29" ht="15" thickBot="1" x14ac:dyDescent="0.35">
      <c r="A1" s="1" cm="1">
        <f t="array" aca="1" ref="A1" ca="1">+A1:PA1:P+A1:P35+A1:P363628A1:P2A1:P33</f>
        <v>0</v>
      </c>
      <c r="B1" s="67" t="s">
        <v>0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8"/>
    </row>
    <row r="2" spans="1:29" ht="15" thickBot="1" x14ac:dyDescent="0.35">
      <c r="A2" s="2"/>
      <c r="B2" s="67" t="s">
        <v>24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8"/>
    </row>
    <row r="3" spans="1:29" x14ac:dyDescent="0.3">
      <c r="A3" s="3"/>
      <c r="B3" s="69" t="s">
        <v>1</v>
      </c>
      <c r="C3" s="69"/>
      <c r="D3" s="69" t="s">
        <v>2</v>
      </c>
      <c r="E3" s="69"/>
      <c r="F3" s="69" t="s">
        <v>3</v>
      </c>
      <c r="G3" s="69"/>
      <c r="H3" s="69" t="s">
        <v>4</v>
      </c>
      <c r="I3" s="69"/>
      <c r="J3" s="69" t="s">
        <v>5</v>
      </c>
      <c r="K3" s="69"/>
      <c r="L3" s="69" t="s">
        <v>6</v>
      </c>
      <c r="M3" s="69"/>
      <c r="N3" s="69" t="s">
        <v>7</v>
      </c>
      <c r="O3" s="69"/>
      <c r="P3" s="4" t="s">
        <v>8</v>
      </c>
      <c r="W3" s="5" t="e">
        <f t="shared" ref="W3:W19" si="0">C3-B3</f>
        <v>#VALUE!</v>
      </c>
      <c r="X3" s="5" t="e">
        <f t="shared" ref="X3:X19" si="1">E3-D3</f>
        <v>#VALUE!</v>
      </c>
      <c r="Y3" s="5" t="e">
        <f t="shared" ref="Y3:Y19" si="2">G3-F3</f>
        <v>#VALUE!</v>
      </c>
      <c r="Z3" s="5" t="e">
        <f t="shared" ref="Z3:Z19" si="3">I3-H3</f>
        <v>#VALUE!</v>
      </c>
      <c r="AA3" s="5" t="e">
        <f t="shared" ref="AA3:AA19" si="4">K3-J3</f>
        <v>#VALUE!</v>
      </c>
      <c r="AB3" s="5" t="e">
        <f t="shared" ref="AB3:AB19" si="5">M3-L3</f>
        <v>#VALUE!</v>
      </c>
      <c r="AC3" s="5" t="e">
        <f t="shared" ref="AC3:AC19" si="6">O3-N3</f>
        <v>#VALUE!</v>
      </c>
    </row>
    <row r="4" spans="1:29" x14ac:dyDescent="0.3">
      <c r="A4" s="6"/>
      <c r="B4" s="72">
        <v>46027</v>
      </c>
      <c r="C4" s="73"/>
      <c r="D4" s="72">
        <v>46028</v>
      </c>
      <c r="E4" s="73"/>
      <c r="F4" s="72">
        <v>46029</v>
      </c>
      <c r="G4" s="73"/>
      <c r="H4" s="72">
        <v>46030</v>
      </c>
      <c r="I4" s="73"/>
      <c r="J4" s="72">
        <v>46031</v>
      </c>
      <c r="K4" s="73"/>
      <c r="L4" s="72">
        <v>46032</v>
      </c>
      <c r="M4" s="73"/>
      <c r="N4" s="72">
        <v>46033</v>
      </c>
      <c r="O4" s="73"/>
      <c r="P4" s="7"/>
      <c r="W4" s="5">
        <f t="shared" si="0"/>
        <v>-46027</v>
      </c>
      <c r="X4" s="5">
        <f t="shared" si="1"/>
        <v>-46028</v>
      </c>
      <c r="Y4" s="5">
        <f t="shared" si="2"/>
        <v>-46029</v>
      </c>
      <c r="Z4" s="5">
        <f t="shared" si="3"/>
        <v>-46030</v>
      </c>
      <c r="AA4" s="5">
        <f t="shared" si="4"/>
        <v>-46031</v>
      </c>
      <c r="AB4" s="5">
        <f t="shared" si="5"/>
        <v>-46032</v>
      </c>
      <c r="AC4" s="5">
        <f t="shared" si="6"/>
        <v>-46033</v>
      </c>
    </row>
    <row r="5" spans="1:29" x14ac:dyDescent="0.3">
      <c r="A5" s="8" t="s">
        <v>9</v>
      </c>
      <c r="B5" s="72"/>
      <c r="C5" s="73"/>
      <c r="D5" s="72"/>
      <c r="E5" s="73"/>
      <c r="F5" s="72"/>
      <c r="G5" s="73"/>
      <c r="H5" s="72"/>
      <c r="I5" s="73"/>
      <c r="J5" s="72"/>
      <c r="K5" s="73"/>
      <c r="L5" s="72"/>
      <c r="M5" s="73"/>
      <c r="N5" s="72"/>
      <c r="O5" s="73"/>
      <c r="P5" s="7"/>
      <c r="W5" s="5">
        <f t="shared" si="0"/>
        <v>0</v>
      </c>
      <c r="X5" s="5">
        <f t="shared" si="1"/>
        <v>0</v>
      </c>
      <c r="Y5" s="5">
        <f t="shared" si="2"/>
        <v>0</v>
      </c>
      <c r="Z5" s="5">
        <f t="shared" si="3"/>
        <v>0</v>
      </c>
      <c r="AA5" s="5">
        <f t="shared" si="4"/>
        <v>0</v>
      </c>
      <c r="AB5" s="5">
        <f t="shared" si="5"/>
        <v>0</v>
      </c>
      <c r="AC5" s="5">
        <f t="shared" si="6"/>
        <v>0</v>
      </c>
    </row>
    <row r="6" spans="1:29" x14ac:dyDescent="0.3">
      <c r="A6" s="9" t="s">
        <v>10</v>
      </c>
      <c r="B6" s="10"/>
      <c r="C6" s="10"/>
      <c r="D6" s="11">
        <v>0.39583333333333331</v>
      </c>
      <c r="E6" s="11">
        <v>0.72916666666666663</v>
      </c>
      <c r="F6" s="11">
        <v>0.375</v>
      </c>
      <c r="G6" s="11">
        <v>0.72916666666666663</v>
      </c>
      <c r="H6" s="11">
        <v>0.41666666666666669</v>
      </c>
      <c r="I6" s="11">
        <v>0.72916666666666663</v>
      </c>
      <c r="J6" s="11">
        <v>0.375</v>
      </c>
      <c r="K6" s="11">
        <v>0.70833333333333337</v>
      </c>
      <c r="L6" s="11">
        <v>0.41666666666666669</v>
      </c>
      <c r="M6" s="11">
        <v>0.70833333333333337</v>
      </c>
      <c r="N6" s="10"/>
      <c r="O6" s="10"/>
      <c r="P6" s="12">
        <f>W6+X6+Y6+Z6+AA6+AB6+AC6</f>
        <v>1.6250000000000002</v>
      </c>
      <c r="W6" s="5">
        <f t="shared" si="0"/>
        <v>0</v>
      </c>
      <c r="X6" s="5">
        <f t="shared" si="1"/>
        <v>0.33333333333333331</v>
      </c>
      <c r="Y6" s="5">
        <f t="shared" si="2"/>
        <v>0.35416666666666663</v>
      </c>
      <c r="Z6" s="5">
        <f t="shared" si="3"/>
        <v>0.31249999999999994</v>
      </c>
      <c r="AA6" s="5">
        <f t="shared" si="4"/>
        <v>0.33333333333333337</v>
      </c>
      <c r="AB6" s="5">
        <f t="shared" si="5"/>
        <v>0.29166666666666669</v>
      </c>
      <c r="AC6" s="5">
        <f t="shared" si="6"/>
        <v>0</v>
      </c>
    </row>
    <row r="7" spans="1:29" x14ac:dyDescent="0.3">
      <c r="A7" s="13" t="s">
        <v>11</v>
      </c>
      <c r="B7" s="14">
        <v>0.39583333333333331</v>
      </c>
      <c r="C7" s="14">
        <v>0.72916666666666663</v>
      </c>
      <c r="D7" s="10"/>
      <c r="E7" s="10"/>
      <c r="F7" s="10"/>
      <c r="G7" s="10"/>
      <c r="H7" s="14">
        <v>0.39583333333333331</v>
      </c>
      <c r="I7" s="14">
        <v>0.72916666666666663</v>
      </c>
      <c r="J7" s="10"/>
      <c r="K7" s="10"/>
      <c r="L7" s="10"/>
      <c r="M7" s="10"/>
      <c r="N7" s="10"/>
      <c r="O7" s="10"/>
      <c r="P7" s="12">
        <f>W7+X7+Y7+Z7+AA7+AB7+AC7</f>
        <v>0.66666666666666663</v>
      </c>
      <c r="W7" s="5">
        <f t="shared" si="0"/>
        <v>0.33333333333333331</v>
      </c>
      <c r="X7" s="5">
        <f t="shared" si="1"/>
        <v>0</v>
      </c>
      <c r="Y7" s="5">
        <f t="shared" si="2"/>
        <v>0</v>
      </c>
      <c r="Z7" s="5">
        <f t="shared" si="3"/>
        <v>0.33333333333333331</v>
      </c>
      <c r="AA7" s="5">
        <f t="shared" si="4"/>
        <v>0</v>
      </c>
      <c r="AB7" s="5">
        <f t="shared" si="5"/>
        <v>0</v>
      </c>
      <c r="AC7" s="5">
        <f t="shared" si="6"/>
        <v>0</v>
      </c>
    </row>
    <row r="8" spans="1:29" x14ac:dyDescent="0.3">
      <c r="A8" s="13" t="s">
        <v>12</v>
      </c>
      <c r="B8" s="14">
        <v>0.41666666666666669</v>
      </c>
      <c r="C8" s="14">
        <v>0.70833333333333337</v>
      </c>
      <c r="D8" s="14">
        <v>0.41666666666666669</v>
      </c>
      <c r="E8" s="14">
        <v>0.70833333333333337</v>
      </c>
      <c r="F8" s="14">
        <v>0.41666666666666669</v>
      </c>
      <c r="G8" s="14">
        <v>0.70833333333333337</v>
      </c>
      <c r="H8" s="14">
        <v>0.41666666666666669</v>
      </c>
      <c r="I8" s="14">
        <v>0.70833333333333337</v>
      </c>
      <c r="J8" s="14">
        <v>0.41666666666666669</v>
      </c>
      <c r="K8" s="14">
        <v>0.70833333333333337</v>
      </c>
      <c r="L8" s="10"/>
      <c r="M8" s="10"/>
      <c r="N8" s="10"/>
      <c r="O8" s="10"/>
      <c r="P8" s="12">
        <f>W8+X8+Y8+Z8+AA8+AB8+AC8</f>
        <v>1.4583333333333335</v>
      </c>
      <c r="W8" s="5">
        <f t="shared" si="0"/>
        <v>0.29166666666666669</v>
      </c>
      <c r="X8" s="5">
        <f t="shared" si="1"/>
        <v>0.29166666666666669</v>
      </c>
      <c r="Y8" s="5">
        <f t="shared" si="2"/>
        <v>0.29166666666666669</v>
      </c>
      <c r="Z8" s="5">
        <f t="shared" si="3"/>
        <v>0.29166666666666669</v>
      </c>
      <c r="AA8" s="5">
        <f t="shared" si="4"/>
        <v>0.29166666666666669</v>
      </c>
      <c r="AB8" s="5">
        <f t="shared" si="5"/>
        <v>0</v>
      </c>
      <c r="AC8" s="5">
        <f t="shared" si="6"/>
        <v>0</v>
      </c>
    </row>
    <row r="9" spans="1:29" x14ac:dyDescent="0.3">
      <c r="A9" s="8" t="s">
        <v>13</v>
      </c>
      <c r="B9" s="14">
        <v>0.39583333333333331</v>
      </c>
      <c r="C9" s="14">
        <v>0.72916666666666663</v>
      </c>
      <c r="D9" s="10"/>
      <c r="E9" s="10"/>
      <c r="F9" s="10"/>
      <c r="G9" s="10"/>
      <c r="H9" s="10"/>
      <c r="I9" s="10"/>
      <c r="J9" s="10"/>
      <c r="K9" s="10"/>
      <c r="L9" s="14">
        <v>0.39583333333333331</v>
      </c>
      <c r="M9" s="14">
        <v>0.70833333333333337</v>
      </c>
      <c r="N9" s="14">
        <v>0.39583333333333298</v>
      </c>
      <c r="O9" s="14">
        <v>0.70833333333333337</v>
      </c>
      <c r="P9" s="12">
        <f t="shared" ref="P9:P11" si="7">W9+X9+Y9+Z9+AA9+AB9+AC9</f>
        <v>0.9583333333333337</v>
      </c>
      <c r="W9" s="5">
        <f t="shared" si="0"/>
        <v>0.33333333333333331</v>
      </c>
      <c r="X9" s="5">
        <f t="shared" si="1"/>
        <v>0</v>
      </c>
      <c r="Y9" s="5">
        <f t="shared" si="2"/>
        <v>0</v>
      </c>
      <c r="Z9" s="5">
        <f t="shared" si="3"/>
        <v>0</v>
      </c>
      <c r="AA9" s="5">
        <f t="shared" si="4"/>
        <v>0</v>
      </c>
      <c r="AB9" s="5">
        <f t="shared" si="5"/>
        <v>0.31250000000000006</v>
      </c>
      <c r="AC9" s="5">
        <f t="shared" si="6"/>
        <v>0.31250000000000039</v>
      </c>
    </row>
    <row r="10" spans="1:29" x14ac:dyDescent="0.3">
      <c r="A10" s="8" t="s">
        <v>14</v>
      </c>
      <c r="B10" s="10"/>
      <c r="C10" s="10"/>
      <c r="D10" s="14">
        <v>0.39583333333333331</v>
      </c>
      <c r="E10" s="14">
        <v>0.70833333333333337</v>
      </c>
      <c r="F10" s="14">
        <v>0.375</v>
      </c>
      <c r="G10" s="14">
        <v>0.75</v>
      </c>
      <c r="H10" s="14">
        <v>0.39583333333333331</v>
      </c>
      <c r="I10" s="14">
        <v>0.70833333333333337</v>
      </c>
      <c r="J10" s="14">
        <v>0.375</v>
      </c>
      <c r="K10" s="14">
        <v>0.70833333333333337</v>
      </c>
      <c r="L10" s="14">
        <v>0.41666666666666669</v>
      </c>
      <c r="M10" s="14">
        <v>0.70833333333333337</v>
      </c>
      <c r="N10" s="14">
        <v>0.39583333333333298</v>
      </c>
      <c r="O10" s="14">
        <v>0.70833333333333337</v>
      </c>
      <c r="P10" s="12">
        <f t="shared" si="7"/>
        <v>1.9375000000000007</v>
      </c>
      <c r="W10" s="5">
        <f t="shared" si="0"/>
        <v>0</v>
      </c>
      <c r="X10" s="5">
        <f t="shared" si="1"/>
        <v>0.31250000000000006</v>
      </c>
      <c r="Y10" s="5">
        <f t="shared" si="2"/>
        <v>0.375</v>
      </c>
      <c r="Z10" s="5">
        <f t="shared" si="3"/>
        <v>0.31250000000000006</v>
      </c>
      <c r="AA10" s="5">
        <f t="shared" si="4"/>
        <v>0.33333333333333337</v>
      </c>
      <c r="AB10" s="5">
        <f t="shared" si="5"/>
        <v>0.29166666666666669</v>
      </c>
      <c r="AC10" s="5">
        <f t="shared" si="6"/>
        <v>0.31250000000000039</v>
      </c>
    </row>
    <row r="11" spans="1:29" x14ac:dyDescent="0.3">
      <c r="A11" s="9" t="s">
        <v>15</v>
      </c>
      <c r="B11" s="10"/>
      <c r="C11" s="10"/>
      <c r="D11" s="10"/>
      <c r="E11" s="10"/>
      <c r="F11" s="10"/>
      <c r="G11" s="10"/>
      <c r="H11" s="14">
        <v>0.39583333333333331</v>
      </c>
      <c r="I11" s="14">
        <v>0.75</v>
      </c>
      <c r="J11" s="14">
        <v>0.41666666666666669</v>
      </c>
      <c r="K11" s="14">
        <v>0.72916666666666663</v>
      </c>
      <c r="L11" s="14">
        <v>0.39583333333333331</v>
      </c>
      <c r="M11" s="14">
        <v>0.70833333333333337</v>
      </c>
      <c r="N11" s="14">
        <v>0.39583333333333298</v>
      </c>
      <c r="O11" s="14">
        <v>0.70833333333333337</v>
      </c>
      <c r="P11" s="12">
        <f t="shared" si="7"/>
        <v>1.2916666666666672</v>
      </c>
      <c r="W11" s="5">
        <f t="shared" si="0"/>
        <v>0</v>
      </c>
      <c r="X11" s="5">
        <f t="shared" si="1"/>
        <v>0</v>
      </c>
      <c r="Y11" s="5">
        <f t="shared" si="2"/>
        <v>0</v>
      </c>
      <c r="Z11" s="5">
        <f t="shared" si="3"/>
        <v>0.35416666666666669</v>
      </c>
      <c r="AA11" s="5">
        <f t="shared" si="4"/>
        <v>0.31249999999999994</v>
      </c>
      <c r="AB11" s="5">
        <f t="shared" si="5"/>
        <v>0.31250000000000006</v>
      </c>
      <c r="AC11" s="5">
        <f t="shared" si="6"/>
        <v>0.31250000000000039</v>
      </c>
    </row>
    <row r="12" spans="1:29" x14ac:dyDescent="0.3">
      <c r="A12" s="15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W12" s="5">
        <f t="shared" si="0"/>
        <v>0</v>
      </c>
      <c r="X12" s="5">
        <f t="shared" si="1"/>
        <v>0</v>
      </c>
      <c r="Y12" s="5">
        <f t="shared" si="2"/>
        <v>0</v>
      </c>
      <c r="Z12" s="5">
        <f t="shared" si="3"/>
        <v>0</v>
      </c>
      <c r="AA12" s="5">
        <f t="shared" si="4"/>
        <v>0</v>
      </c>
      <c r="AB12" s="5">
        <f t="shared" si="5"/>
        <v>0</v>
      </c>
      <c r="AC12" s="5">
        <f t="shared" si="6"/>
        <v>0</v>
      </c>
    </row>
    <row r="13" spans="1:29" x14ac:dyDescent="0.3">
      <c r="A13" s="9" t="s">
        <v>16</v>
      </c>
      <c r="B13" s="10"/>
      <c r="C13" s="10"/>
      <c r="D13" s="17">
        <v>0.70833333333333337</v>
      </c>
      <c r="E13" s="17">
        <v>1.0625</v>
      </c>
      <c r="F13" s="17">
        <v>0.72916666666666663</v>
      </c>
      <c r="G13" s="17">
        <v>1.0625</v>
      </c>
      <c r="H13" s="17">
        <v>0.70833333333333304</v>
      </c>
      <c r="I13" s="17">
        <v>1.0625</v>
      </c>
      <c r="J13" s="17">
        <v>0.70833333333333304</v>
      </c>
      <c r="K13" s="17">
        <v>1.0625</v>
      </c>
      <c r="L13" s="17">
        <v>0.70833333333333304</v>
      </c>
      <c r="M13" s="17">
        <v>1.0625</v>
      </c>
      <c r="N13" s="10"/>
      <c r="O13" s="10"/>
      <c r="P13" s="18">
        <f t="shared" ref="P13:P18" si="8">W13+X13+Y13+Z13+AA13+AB13+AC13</f>
        <v>1.7500000000000009</v>
      </c>
      <c r="W13" s="5">
        <f t="shared" si="0"/>
        <v>0</v>
      </c>
      <c r="X13" s="5">
        <f t="shared" si="1"/>
        <v>0.35416666666666663</v>
      </c>
      <c r="Y13" s="5">
        <f t="shared" si="2"/>
        <v>0.33333333333333337</v>
      </c>
      <c r="Z13" s="5">
        <f t="shared" si="3"/>
        <v>0.35416666666666696</v>
      </c>
      <c r="AA13" s="5">
        <f t="shared" si="4"/>
        <v>0.35416666666666696</v>
      </c>
      <c r="AB13" s="5">
        <f t="shared" si="5"/>
        <v>0.35416666666666696</v>
      </c>
      <c r="AC13" s="5">
        <f t="shared" si="6"/>
        <v>0</v>
      </c>
    </row>
    <row r="14" spans="1:29" x14ac:dyDescent="0.3">
      <c r="A14" s="9" t="s">
        <v>17</v>
      </c>
      <c r="B14" s="17">
        <v>0.70833333333333337</v>
      </c>
      <c r="C14" s="17">
        <v>1.0208333333333299</v>
      </c>
      <c r="D14" s="10"/>
      <c r="E14" s="10"/>
      <c r="F14" s="10"/>
      <c r="G14" s="10"/>
      <c r="H14" s="17">
        <v>0.6875</v>
      </c>
      <c r="I14" s="17">
        <v>1.0625</v>
      </c>
      <c r="J14" s="17">
        <v>0.70833333333333304</v>
      </c>
      <c r="K14" s="17">
        <v>1.0625</v>
      </c>
      <c r="L14" s="17">
        <v>0.6875</v>
      </c>
      <c r="M14" s="17">
        <v>1.0625</v>
      </c>
      <c r="N14" s="17">
        <v>0.6875</v>
      </c>
      <c r="O14" s="17">
        <v>1.0208333333333299</v>
      </c>
      <c r="P14" s="18">
        <f t="shared" si="8"/>
        <v>1.7499999999999933</v>
      </c>
      <c r="W14" s="5">
        <f t="shared" si="0"/>
        <v>0.31249999999999656</v>
      </c>
      <c r="X14" s="5">
        <f t="shared" si="1"/>
        <v>0</v>
      </c>
      <c r="Y14" s="5">
        <f t="shared" si="2"/>
        <v>0</v>
      </c>
      <c r="Z14" s="5">
        <f t="shared" si="3"/>
        <v>0.375</v>
      </c>
      <c r="AA14" s="5">
        <f t="shared" si="4"/>
        <v>0.35416666666666696</v>
      </c>
      <c r="AB14" s="5">
        <f t="shared" si="5"/>
        <v>0.375</v>
      </c>
      <c r="AC14" s="5">
        <f t="shared" si="6"/>
        <v>0.33333333333332993</v>
      </c>
    </row>
    <row r="15" spans="1:29" x14ac:dyDescent="0.3">
      <c r="A15" s="19" t="s">
        <v>18</v>
      </c>
      <c r="B15" s="17">
        <v>0.72916666666666663</v>
      </c>
      <c r="C15" s="17">
        <v>1.0208333333333299</v>
      </c>
      <c r="D15" s="17">
        <v>0.70833333333333337</v>
      </c>
      <c r="E15" s="17">
        <v>1.0625</v>
      </c>
      <c r="F15" s="17">
        <v>0.75</v>
      </c>
      <c r="G15" s="17">
        <v>1.0625</v>
      </c>
      <c r="H15" s="20"/>
      <c r="I15" s="20"/>
      <c r="J15" s="20"/>
      <c r="K15" s="20"/>
      <c r="L15" s="17">
        <v>0.70833333333333337</v>
      </c>
      <c r="M15" s="17">
        <v>1.0625</v>
      </c>
      <c r="N15" s="17">
        <v>0.70833333333333337</v>
      </c>
      <c r="O15" s="17">
        <v>1.0208333333333299</v>
      </c>
      <c r="P15" s="18">
        <f t="shared" si="8"/>
        <v>1.6249999999999929</v>
      </c>
      <c r="W15" s="5">
        <f t="shared" si="0"/>
        <v>0.2916666666666633</v>
      </c>
      <c r="X15" s="5">
        <f t="shared" si="1"/>
        <v>0.35416666666666663</v>
      </c>
      <c r="Y15" s="5">
        <f t="shared" si="2"/>
        <v>0.3125</v>
      </c>
      <c r="Z15" s="5">
        <f t="shared" si="3"/>
        <v>0</v>
      </c>
      <c r="AA15" s="5">
        <f t="shared" si="4"/>
        <v>0</v>
      </c>
      <c r="AB15" s="5">
        <f t="shared" si="5"/>
        <v>0.35416666666666663</v>
      </c>
      <c r="AC15" s="5">
        <f t="shared" si="6"/>
        <v>0.31249999999999656</v>
      </c>
    </row>
    <row r="16" spans="1:29" x14ac:dyDescent="0.3">
      <c r="A16" s="8" t="s">
        <v>19</v>
      </c>
      <c r="B16" s="10"/>
      <c r="C16" s="10"/>
      <c r="D16" s="17">
        <v>0.75</v>
      </c>
      <c r="E16" s="17">
        <v>1.0625</v>
      </c>
      <c r="F16" s="17">
        <v>0.75</v>
      </c>
      <c r="G16" s="17">
        <v>1.0625</v>
      </c>
      <c r="H16" s="17">
        <v>0.75</v>
      </c>
      <c r="I16" s="17">
        <v>1.0625</v>
      </c>
      <c r="J16" s="17">
        <v>0.72916666666666663</v>
      </c>
      <c r="K16" s="17">
        <v>1.0625</v>
      </c>
      <c r="L16" s="17">
        <v>0.70833333333333337</v>
      </c>
      <c r="M16" s="17">
        <v>1.0625</v>
      </c>
      <c r="N16" s="10"/>
      <c r="O16" s="10"/>
      <c r="P16" s="18">
        <f t="shared" si="8"/>
        <v>1.625</v>
      </c>
      <c r="W16" s="5">
        <f t="shared" ref="W16" si="9">C16-B16</f>
        <v>0</v>
      </c>
      <c r="X16" s="5">
        <f t="shared" ref="X16" si="10">E16-D16</f>
        <v>0.3125</v>
      </c>
      <c r="Y16" s="5">
        <f t="shared" ref="Y16" si="11">G16-F16</f>
        <v>0.3125</v>
      </c>
      <c r="Z16" s="5">
        <f t="shared" ref="Z16" si="12">I16-H16</f>
        <v>0.3125</v>
      </c>
      <c r="AA16" s="5">
        <f t="shared" ref="AA16" si="13">K16-J16</f>
        <v>0.33333333333333337</v>
      </c>
      <c r="AB16" s="5">
        <f t="shared" ref="AB16" si="14">M16-L16</f>
        <v>0.35416666666666663</v>
      </c>
      <c r="AC16" s="5">
        <f t="shared" ref="AC16" si="15">O16-N16</f>
        <v>0</v>
      </c>
    </row>
    <row r="17" spans="1:29" x14ac:dyDescent="0.3">
      <c r="A17" s="8" t="s">
        <v>20</v>
      </c>
      <c r="B17" s="17">
        <v>0.72916666666666663</v>
      </c>
      <c r="C17" s="17">
        <v>1.0625</v>
      </c>
      <c r="D17" s="10"/>
      <c r="E17" s="10"/>
      <c r="F17" s="10"/>
      <c r="G17" s="10"/>
      <c r="H17" s="17">
        <v>0.75</v>
      </c>
      <c r="I17" s="17">
        <v>1.0625</v>
      </c>
      <c r="J17" s="17">
        <v>0.75</v>
      </c>
      <c r="K17" s="17">
        <v>1.0625</v>
      </c>
      <c r="L17" s="17">
        <v>0.70833333333333337</v>
      </c>
      <c r="M17" s="17">
        <v>1.0625</v>
      </c>
      <c r="N17" s="17">
        <v>0.70833333333333337</v>
      </c>
      <c r="O17" s="17">
        <v>1.0208333333333299</v>
      </c>
      <c r="P17" s="18">
        <f t="shared" si="8"/>
        <v>1.6249999999999964</v>
      </c>
      <c r="W17" s="5">
        <f t="shared" si="0"/>
        <v>0.33333333333333337</v>
      </c>
      <c r="X17" s="5">
        <f t="shared" si="1"/>
        <v>0</v>
      </c>
      <c r="Y17" s="5">
        <f t="shared" si="2"/>
        <v>0</v>
      </c>
      <c r="Z17" s="5">
        <f t="shared" si="3"/>
        <v>0.3125</v>
      </c>
      <c r="AA17" s="5">
        <f t="shared" si="4"/>
        <v>0.3125</v>
      </c>
      <c r="AB17" s="5">
        <f t="shared" si="5"/>
        <v>0.35416666666666663</v>
      </c>
      <c r="AC17" s="5">
        <f t="shared" si="6"/>
        <v>0.31249999999999656</v>
      </c>
    </row>
    <row r="18" spans="1:29" ht="15" thickBot="1" x14ac:dyDescent="0.35">
      <c r="A18" s="9" t="s">
        <v>21</v>
      </c>
      <c r="B18" s="20"/>
      <c r="C18" s="20"/>
      <c r="D18" s="17">
        <v>0.70833333333333337</v>
      </c>
      <c r="E18" s="17">
        <v>1.0625</v>
      </c>
      <c r="F18" s="17">
        <v>0.70833333333333337</v>
      </c>
      <c r="G18" s="17">
        <v>1.0625</v>
      </c>
      <c r="H18" s="17">
        <v>0.72916666666666663</v>
      </c>
      <c r="I18" s="17">
        <v>1.0625</v>
      </c>
      <c r="J18" s="17">
        <v>0.70833333333333337</v>
      </c>
      <c r="K18" s="17">
        <v>1.0625</v>
      </c>
      <c r="L18" s="17">
        <v>0.70833333333333337</v>
      </c>
      <c r="M18" s="17">
        <v>1.0625</v>
      </c>
      <c r="N18" s="10"/>
      <c r="O18" s="10"/>
      <c r="P18" s="18">
        <f t="shared" si="8"/>
        <v>1.7499999999999996</v>
      </c>
      <c r="W18" s="5">
        <f t="shared" si="0"/>
        <v>0</v>
      </c>
      <c r="X18" s="5">
        <f t="shared" si="1"/>
        <v>0.35416666666666663</v>
      </c>
      <c r="Y18" s="5">
        <f t="shared" si="2"/>
        <v>0.35416666666666663</v>
      </c>
      <c r="Z18" s="5">
        <f t="shared" si="3"/>
        <v>0.33333333333333337</v>
      </c>
      <c r="AA18" s="5">
        <f t="shared" si="4"/>
        <v>0.35416666666666663</v>
      </c>
      <c r="AB18" s="5">
        <f t="shared" si="5"/>
        <v>0.35416666666666663</v>
      </c>
      <c r="AC18" s="5">
        <f t="shared" si="6"/>
        <v>0</v>
      </c>
    </row>
    <row r="19" spans="1:29" ht="15" thickBot="1" x14ac:dyDescent="0.35">
      <c r="A19" s="1" t="e" cm="1">
        <f t="array" ref="A19">+A19:PA19:P+A19:P363628A1:P2A1:P51</f>
        <v>#NAME?</v>
      </c>
      <c r="B19" s="67" t="s">
        <v>0</v>
      </c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8"/>
      <c r="W19" s="5" t="e">
        <f t="shared" si="0"/>
        <v>#VALUE!</v>
      </c>
      <c r="X19" s="5">
        <f t="shared" si="1"/>
        <v>0</v>
      </c>
      <c r="Y19" s="5">
        <f t="shared" si="2"/>
        <v>0</v>
      </c>
      <c r="Z19" s="5">
        <f t="shared" si="3"/>
        <v>0</v>
      </c>
      <c r="AA19" s="5">
        <f t="shared" si="4"/>
        <v>0</v>
      </c>
      <c r="AB19" s="5">
        <f t="shared" si="5"/>
        <v>0</v>
      </c>
      <c r="AC19" s="5">
        <f t="shared" si="6"/>
        <v>0</v>
      </c>
    </row>
    <row r="20" spans="1:29" ht="15" thickBot="1" x14ac:dyDescent="0.35">
      <c r="A20" s="2"/>
      <c r="B20" s="67" t="s">
        <v>24</v>
      </c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8"/>
    </row>
    <row r="21" spans="1:29" x14ac:dyDescent="0.3">
      <c r="A21" s="3"/>
      <c r="B21" s="69" t="s">
        <v>1</v>
      </c>
      <c r="C21" s="69"/>
      <c r="D21" s="69" t="s">
        <v>2</v>
      </c>
      <c r="E21" s="69"/>
      <c r="F21" s="69" t="s">
        <v>3</v>
      </c>
      <c r="G21" s="69"/>
      <c r="H21" s="69" t="s">
        <v>4</v>
      </c>
      <c r="I21" s="69"/>
      <c r="J21" s="69" t="s">
        <v>5</v>
      </c>
      <c r="K21" s="69"/>
      <c r="L21" s="69" t="s">
        <v>6</v>
      </c>
      <c r="M21" s="69"/>
      <c r="N21" s="69" t="s">
        <v>7</v>
      </c>
      <c r="O21" s="69"/>
      <c r="P21" s="4" t="s">
        <v>8</v>
      </c>
    </row>
    <row r="22" spans="1:29" x14ac:dyDescent="0.3">
      <c r="A22" s="6"/>
      <c r="B22" s="72">
        <v>46027</v>
      </c>
      <c r="C22" s="73"/>
      <c r="D22" s="72">
        <v>46028</v>
      </c>
      <c r="E22" s="73"/>
      <c r="F22" s="72">
        <v>46029</v>
      </c>
      <c r="G22" s="73"/>
      <c r="H22" s="72">
        <v>46030</v>
      </c>
      <c r="I22" s="73"/>
      <c r="J22" s="72">
        <v>46031</v>
      </c>
      <c r="K22" s="73"/>
      <c r="L22" s="72">
        <v>46032</v>
      </c>
      <c r="M22" s="73"/>
      <c r="N22" s="72">
        <v>46033</v>
      </c>
      <c r="O22" s="73"/>
      <c r="P22" s="7"/>
    </row>
    <row r="23" spans="1:29" x14ac:dyDescent="0.3">
      <c r="A23" s="8" t="s">
        <v>9</v>
      </c>
      <c r="B23" s="72"/>
      <c r="C23" s="73"/>
      <c r="D23" s="72"/>
      <c r="E23" s="73"/>
      <c r="F23" s="72"/>
      <c r="G23" s="73"/>
      <c r="H23" s="72"/>
      <c r="I23" s="73"/>
      <c r="J23" s="72"/>
      <c r="K23" s="73"/>
      <c r="L23" s="72"/>
      <c r="M23" s="73"/>
      <c r="N23" s="72"/>
      <c r="O23" s="73"/>
      <c r="P23" s="7"/>
    </row>
    <row r="24" spans="1:29" x14ac:dyDescent="0.3">
      <c r="A24" s="9" t="s">
        <v>10</v>
      </c>
      <c r="B24" s="10"/>
      <c r="C24" s="10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0"/>
      <c r="O24" s="10"/>
      <c r="P24" s="12"/>
    </row>
    <row r="25" spans="1:29" x14ac:dyDescent="0.3">
      <c r="A25" s="13" t="s">
        <v>11</v>
      </c>
      <c r="B25" s="14"/>
      <c r="C25" s="14"/>
      <c r="D25" s="10"/>
      <c r="E25" s="10"/>
      <c r="F25" s="10"/>
      <c r="G25" s="10"/>
      <c r="H25" s="14"/>
      <c r="I25" s="14"/>
      <c r="J25" s="10"/>
      <c r="K25" s="10"/>
      <c r="L25" s="10"/>
      <c r="M25" s="10"/>
      <c r="N25" s="10"/>
      <c r="O25" s="10"/>
      <c r="P25" s="12"/>
    </row>
    <row r="26" spans="1:29" x14ac:dyDescent="0.3">
      <c r="A26" s="13" t="s">
        <v>12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0"/>
      <c r="M26" s="10"/>
      <c r="N26" s="10"/>
      <c r="O26" s="10"/>
      <c r="P26" s="12"/>
    </row>
    <row r="27" spans="1:29" x14ac:dyDescent="0.3">
      <c r="A27" s="8" t="s">
        <v>13</v>
      </c>
      <c r="B27" s="14"/>
      <c r="C27" s="14"/>
      <c r="D27" s="10"/>
      <c r="E27" s="10"/>
      <c r="F27" s="10"/>
      <c r="G27" s="10"/>
      <c r="H27" s="10"/>
      <c r="I27" s="10"/>
      <c r="J27" s="10"/>
      <c r="K27" s="10"/>
      <c r="L27" s="14"/>
      <c r="M27" s="14"/>
      <c r="N27" s="14"/>
      <c r="O27" s="14"/>
      <c r="P27" s="12"/>
    </row>
    <row r="28" spans="1:29" x14ac:dyDescent="0.3">
      <c r="A28" s="8" t="s">
        <v>14</v>
      </c>
      <c r="B28" s="10"/>
      <c r="C28" s="10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2"/>
    </row>
    <row r="29" spans="1:29" x14ac:dyDescent="0.3">
      <c r="A29" s="9" t="s">
        <v>15</v>
      </c>
      <c r="B29" s="10"/>
      <c r="C29" s="10"/>
      <c r="D29" s="10"/>
      <c r="E29" s="10"/>
      <c r="F29" s="10"/>
      <c r="G29" s="10"/>
      <c r="H29" s="14"/>
      <c r="I29" s="14"/>
      <c r="J29" s="14"/>
      <c r="K29" s="14"/>
      <c r="L29" s="14"/>
      <c r="M29" s="14"/>
      <c r="N29" s="14"/>
      <c r="O29" s="14"/>
      <c r="P29" s="12"/>
    </row>
    <row r="30" spans="1:29" x14ac:dyDescent="0.3">
      <c r="A30" s="15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</row>
    <row r="31" spans="1:29" x14ac:dyDescent="0.3">
      <c r="A31" s="9" t="s">
        <v>16</v>
      </c>
      <c r="B31" s="10"/>
      <c r="C31" s="10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0"/>
      <c r="O31" s="10"/>
      <c r="P31" s="18"/>
    </row>
    <row r="32" spans="1:29" x14ac:dyDescent="0.3">
      <c r="A32" s="9" t="s">
        <v>17</v>
      </c>
      <c r="B32" s="17"/>
      <c r="C32" s="17"/>
      <c r="D32" s="10"/>
      <c r="E32" s="10"/>
      <c r="F32" s="10"/>
      <c r="G32" s="10"/>
      <c r="H32" s="17"/>
      <c r="I32" s="17"/>
      <c r="J32" s="17"/>
      <c r="K32" s="17"/>
      <c r="L32" s="17"/>
      <c r="M32" s="17"/>
      <c r="N32" s="17"/>
      <c r="O32" s="17"/>
      <c r="P32" s="18"/>
    </row>
    <row r="33" spans="1:16" x14ac:dyDescent="0.3">
      <c r="A33" s="19" t="s">
        <v>18</v>
      </c>
      <c r="B33" s="17"/>
      <c r="C33" s="17"/>
      <c r="D33" s="17"/>
      <c r="E33" s="17"/>
      <c r="F33" s="17"/>
      <c r="G33" s="17"/>
      <c r="H33" s="20"/>
      <c r="I33" s="20"/>
      <c r="J33" s="20"/>
      <c r="K33" s="20"/>
      <c r="L33" s="17"/>
      <c r="M33" s="17"/>
      <c r="N33" s="17"/>
      <c r="O33" s="17"/>
      <c r="P33" s="18"/>
    </row>
    <row r="34" spans="1:16" x14ac:dyDescent="0.3">
      <c r="A34" s="8" t="s">
        <v>19</v>
      </c>
      <c r="B34" s="10"/>
      <c r="C34" s="10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0"/>
      <c r="O34" s="10"/>
      <c r="P34" s="18"/>
    </row>
    <row r="35" spans="1:16" x14ac:dyDescent="0.3">
      <c r="A35" s="8" t="s">
        <v>20</v>
      </c>
      <c r="B35" s="17"/>
      <c r="C35" s="17"/>
      <c r="D35" s="10"/>
      <c r="E35" s="10"/>
      <c r="F35" s="10"/>
      <c r="G35" s="10"/>
      <c r="H35" s="17"/>
      <c r="I35" s="17"/>
      <c r="J35" s="17"/>
      <c r="K35" s="17"/>
      <c r="L35" s="17"/>
      <c r="M35" s="17"/>
      <c r="N35" s="17"/>
      <c r="O35" s="17"/>
      <c r="P35" s="18"/>
    </row>
    <row r="36" spans="1:16" x14ac:dyDescent="0.3">
      <c r="A36" s="9" t="s">
        <v>21</v>
      </c>
      <c r="B36" s="20"/>
      <c r="C36" s="20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0"/>
      <c r="O36" s="10"/>
      <c r="P36" s="18"/>
    </row>
  </sheetData>
  <mergeCells count="46">
    <mergeCell ref="B1:P1"/>
    <mergeCell ref="B2:P2"/>
    <mergeCell ref="B3:C3"/>
    <mergeCell ref="D3:E3"/>
    <mergeCell ref="F3:G3"/>
    <mergeCell ref="H3:I3"/>
    <mergeCell ref="J3:K3"/>
    <mergeCell ref="L3:M3"/>
    <mergeCell ref="N3:O3"/>
    <mergeCell ref="N4:O4"/>
    <mergeCell ref="B5:C5"/>
    <mergeCell ref="D5:E5"/>
    <mergeCell ref="F5:G5"/>
    <mergeCell ref="H5:I5"/>
    <mergeCell ref="J5:K5"/>
    <mergeCell ref="L5:M5"/>
    <mergeCell ref="N5:O5"/>
    <mergeCell ref="B4:C4"/>
    <mergeCell ref="D4:E4"/>
    <mergeCell ref="F4:G4"/>
    <mergeCell ref="H4:I4"/>
    <mergeCell ref="J4:K4"/>
    <mergeCell ref="L4:M4"/>
    <mergeCell ref="B19:P19"/>
    <mergeCell ref="B20:P20"/>
    <mergeCell ref="B21:C21"/>
    <mergeCell ref="D21:E21"/>
    <mergeCell ref="F21:G21"/>
    <mergeCell ref="H21:I21"/>
    <mergeCell ref="J21:K21"/>
    <mergeCell ref="L21:M21"/>
    <mergeCell ref="N21:O21"/>
    <mergeCell ref="N22:O22"/>
    <mergeCell ref="B23:C23"/>
    <mergeCell ref="D23:E23"/>
    <mergeCell ref="F23:G23"/>
    <mergeCell ref="H23:I23"/>
    <mergeCell ref="J23:K23"/>
    <mergeCell ref="L23:M23"/>
    <mergeCell ref="N23:O23"/>
    <mergeCell ref="B22:C22"/>
    <mergeCell ref="D22:E22"/>
    <mergeCell ref="F22:G22"/>
    <mergeCell ref="H22:I22"/>
    <mergeCell ref="J22:K22"/>
    <mergeCell ref="L22:M22"/>
  </mergeCells>
  <pageMargins left="0.7" right="0.7" top="0.75" bottom="0.75" header="0.3" footer="0.3"/>
  <pageSetup paperSize="9" scale="3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BCAF5-A3A0-4EF7-86BA-07D7EA23583D}">
  <sheetPr>
    <pageSetUpPr fitToPage="1"/>
  </sheetPr>
  <dimension ref="A1:AC36"/>
  <sheetViews>
    <sheetView workbookViewId="0">
      <selection activeCell="D10" sqref="D10:K10"/>
    </sheetView>
  </sheetViews>
  <sheetFormatPr baseColWidth="10" defaultRowHeight="14.4" x14ac:dyDescent="0.3"/>
  <sheetData>
    <row r="1" spans="1:29" ht="15" thickBot="1" x14ac:dyDescent="0.35">
      <c r="A1" s="1"/>
      <c r="B1" s="67" t="s">
        <v>0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8"/>
    </row>
    <row r="2" spans="1:29" ht="15" thickBot="1" x14ac:dyDescent="0.35">
      <c r="A2" s="2"/>
      <c r="B2" s="67" t="s">
        <v>25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8"/>
    </row>
    <row r="3" spans="1:29" x14ac:dyDescent="0.3">
      <c r="A3" s="3"/>
      <c r="B3" s="74" t="s">
        <v>1</v>
      </c>
      <c r="C3" s="75"/>
      <c r="D3" s="74" t="s">
        <v>2</v>
      </c>
      <c r="E3" s="75"/>
      <c r="F3" s="74" t="s">
        <v>3</v>
      </c>
      <c r="G3" s="75"/>
      <c r="H3" s="74" t="s">
        <v>4</v>
      </c>
      <c r="I3" s="75"/>
      <c r="J3" s="74" t="s">
        <v>5</v>
      </c>
      <c r="K3" s="75"/>
      <c r="L3" s="74" t="s">
        <v>6</v>
      </c>
      <c r="M3" s="75"/>
      <c r="N3" s="74" t="s">
        <v>7</v>
      </c>
      <c r="O3" s="75"/>
      <c r="P3" s="4" t="s">
        <v>8</v>
      </c>
      <c r="W3" s="5" t="e">
        <f t="shared" ref="W3:W19" si="0">C3-B3</f>
        <v>#VALUE!</v>
      </c>
      <c r="X3" s="5" t="e">
        <f t="shared" ref="X3:X19" si="1">E3-D3</f>
        <v>#VALUE!</v>
      </c>
      <c r="Y3" s="5" t="e">
        <f t="shared" ref="Y3:Y19" si="2">G3-F3</f>
        <v>#VALUE!</v>
      </c>
      <c r="Z3" s="5" t="e">
        <f t="shared" ref="Z3:Z19" si="3">I3-H3</f>
        <v>#VALUE!</v>
      </c>
      <c r="AA3" s="5" t="e">
        <f t="shared" ref="AA3:AA19" si="4">K3-J3</f>
        <v>#VALUE!</v>
      </c>
      <c r="AB3" s="5" t="e">
        <f t="shared" ref="AB3:AB19" si="5">M3-L3</f>
        <v>#VALUE!</v>
      </c>
      <c r="AC3" s="5" t="e">
        <f t="shared" ref="AC3:AC19" si="6">O3-N3</f>
        <v>#VALUE!</v>
      </c>
    </row>
    <row r="4" spans="1:29" x14ac:dyDescent="0.3">
      <c r="A4" s="6"/>
      <c r="B4" s="72">
        <v>46034</v>
      </c>
      <c r="C4" s="73"/>
      <c r="D4" s="72">
        <v>46035</v>
      </c>
      <c r="E4" s="73"/>
      <c r="F4" s="72">
        <v>46036</v>
      </c>
      <c r="G4" s="73"/>
      <c r="H4" s="72">
        <v>46037</v>
      </c>
      <c r="I4" s="73"/>
      <c r="J4" s="72">
        <v>46038</v>
      </c>
      <c r="K4" s="73"/>
      <c r="L4" s="72">
        <v>46039</v>
      </c>
      <c r="M4" s="73"/>
      <c r="N4" s="72">
        <v>46040</v>
      </c>
      <c r="O4" s="73"/>
      <c r="P4" s="7"/>
      <c r="W4" s="5">
        <f t="shared" si="0"/>
        <v>-46034</v>
      </c>
      <c r="X4" s="5">
        <f t="shared" si="1"/>
        <v>-46035</v>
      </c>
      <c r="Y4" s="5">
        <f t="shared" si="2"/>
        <v>-46036</v>
      </c>
      <c r="Z4" s="5">
        <f t="shared" si="3"/>
        <v>-46037</v>
      </c>
      <c r="AA4" s="5">
        <f t="shared" si="4"/>
        <v>-46038</v>
      </c>
      <c r="AB4" s="5">
        <f t="shared" si="5"/>
        <v>-46039</v>
      </c>
      <c r="AC4" s="5">
        <f t="shared" si="6"/>
        <v>-46040</v>
      </c>
    </row>
    <row r="5" spans="1:29" x14ac:dyDescent="0.3">
      <c r="A5" s="8" t="s">
        <v>9</v>
      </c>
      <c r="B5" s="72"/>
      <c r="C5" s="73"/>
      <c r="D5" s="72"/>
      <c r="E5" s="73"/>
      <c r="F5" s="72"/>
      <c r="G5" s="73"/>
      <c r="H5" s="72"/>
      <c r="I5" s="73"/>
      <c r="J5" s="72"/>
      <c r="K5" s="73"/>
      <c r="L5" s="72"/>
      <c r="M5" s="73"/>
      <c r="N5" s="72"/>
      <c r="O5" s="73"/>
      <c r="P5" s="7"/>
      <c r="W5" s="5">
        <f t="shared" si="0"/>
        <v>0</v>
      </c>
      <c r="X5" s="5">
        <f t="shared" si="1"/>
        <v>0</v>
      </c>
      <c r="Y5" s="5">
        <f t="shared" si="2"/>
        <v>0</v>
      </c>
      <c r="Z5" s="5">
        <f t="shared" si="3"/>
        <v>0</v>
      </c>
      <c r="AA5" s="5">
        <f t="shared" si="4"/>
        <v>0</v>
      </c>
      <c r="AB5" s="5">
        <f t="shared" si="5"/>
        <v>0</v>
      </c>
      <c r="AC5" s="5">
        <f t="shared" si="6"/>
        <v>0</v>
      </c>
    </row>
    <row r="6" spans="1:29" x14ac:dyDescent="0.3">
      <c r="A6" s="9" t="s">
        <v>10</v>
      </c>
      <c r="B6" s="10"/>
      <c r="C6" s="10"/>
      <c r="D6" s="11">
        <v>0.39583333333333331</v>
      </c>
      <c r="E6" s="11">
        <v>0.72916666666666663</v>
      </c>
      <c r="F6" s="11">
        <v>0.375</v>
      </c>
      <c r="G6" s="11">
        <v>0.72916666666666663</v>
      </c>
      <c r="H6" s="11">
        <v>0.41666666666666669</v>
      </c>
      <c r="I6" s="11">
        <v>0.72916666666666663</v>
      </c>
      <c r="J6" s="11">
        <v>0.375</v>
      </c>
      <c r="K6" s="11">
        <v>0.70833333333333337</v>
      </c>
      <c r="L6" s="11">
        <v>0.41666666666666669</v>
      </c>
      <c r="M6" s="11">
        <v>0.70833333333333337</v>
      </c>
      <c r="N6" s="10"/>
      <c r="O6" s="10"/>
      <c r="P6" s="12">
        <f>W6+X6+Y6+Z6+AA6+AB6+AC6</f>
        <v>1.6250000000000002</v>
      </c>
      <c r="W6" s="5">
        <f t="shared" si="0"/>
        <v>0</v>
      </c>
      <c r="X6" s="5">
        <f t="shared" si="1"/>
        <v>0.33333333333333331</v>
      </c>
      <c r="Y6" s="5">
        <f t="shared" si="2"/>
        <v>0.35416666666666663</v>
      </c>
      <c r="Z6" s="5">
        <f t="shared" si="3"/>
        <v>0.31249999999999994</v>
      </c>
      <c r="AA6" s="5">
        <f t="shared" si="4"/>
        <v>0.33333333333333337</v>
      </c>
      <c r="AB6" s="5">
        <f t="shared" si="5"/>
        <v>0.29166666666666669</v>
      </c>
      <c r="AC6" s="5">
        <f t="shared" si="6"/>
        <v>0</v>
      </c>
    </row>
    <row r="7" spans="1:29" x14ac:dyDescent="0.3">
      <c r="A7" s="13" t="s">
        <v>11</v>
      </c>
      <c r="B7" s="14">
        <v>0.39583333333333331</v>
      </c>
      <c r="C7" s="14">
        <v>0.72916666666666663</v>
      </c>
      <c r="D7" s="10"/>
      <c r="E7" s="10"/>
      <c r="F7" s="10"/>
      <c r="G7" s="10"/>
      <c r="H7" s="14">
        <v>0.39583333333333331</v>
      </c>
      <c r="I7" s="14">
        <v>0.72916666666666663</v>
      </c>
      <c r="J7" s="14">
        <v>0.39583333333333331</v>
      </c>
      <c r="K7" s="14">
        <v>0.72916666666666663</v>
      </c>
      <c r="L7" s="14">
        <v>0.39583333333333331</v>
      </c>
      <c r="M7" s="14">
        <v>0.70833333333333337</v>
      </c>
      <c r="N7" s="14">
        <v>0.39583333333333331</v>
      </c>
      <c r="O7" s="14">
        <v>0.70833333333333337</v>
      </c>
      <c r="P7" s="12">
        <f>W7+X7+Y7+Z7+AA7+AB7+AC7</f>
        <v>1.625</v>
      </c>
      <c r="W7" s="5">
        <f t="shared" si="0"/>
        <v>0.33333333333333331</v>
      </c>
      <c r="X7" s="5">
        <f t="shared" si="1"/>
        <v>0</v>
      </c>
      <c r="Y7" s="5">
        <f t="shared" si="2"/>
        <v>0</v>
      </c>
      <c r="Z7" s="5">
        <f t="shared" si="3"/>
        <v>0.33333333333333331</v>
      </c>
      <c r="AA7" s="5">
        <f t="shared" si="4"/>
        <v>0.33333333333333331</v>
      </c>
      <c r="AB7" s="5">
        <f t="shared" si="5"/>
        <v>0.31250000000000006</v>
      </c>
      <c r="AC7" s="5">
        <f t="shared" si="6"/>
        <v>0.31250000000000006</v>
      </c>
    </row>
    <row r="8" spans="1:29" x14ac:dyDescent="0.3">
      <c r="A8" s="13" t="s">
        <v>12</v>
      </c>
      <c r="B8" s="14">
        <v>0.41666666666666669</v>
      </c>
      <c r="C8" s="14">
        <v>0.70833333333333337</v>
      </c>
      <c r="D8" s="14">
        <v>0.41666666666666669</v>
      </c>
      <c r="E8" s="14">
        <v>0.70833333333333337</v>
      </c>
      <c r="F8" s="14">
        <v>0.41666666666666669</v>
      </c>
      <c r="G8" s="14">
        <v>0.70833333333333337</v>
      </c>
      <c r="H8" s="14">
        <v>0.41666666666666669</v>
      </c>
      <c r="I8" s="14">
        <v>0.70833333333333337</v>
      </c>
      <c r="J8" s="14">
        <v>0.41666666666666669</v>
      </c>
      <c r="K8" s="14">
        <v>0.70833333333333337</v>
      </c>
      <c r="L8" s="10"/>
      <c r="M8" s="10"/>
      <c r="N8" s="10"/>
      <c r="O8" s="10"/>
      <c r="P8" s="12">
        <f>W8+X8+Y8+Z8+AA8+AB8+AC8</f>
        <v>1.4583333333333335</v>
      </c>
      <c r="W8" s="5">
        <f t="shared" si="0"/>
        <v>0.29166666666666669</v>
      </c>
      <c r="X8" s="5">
        <f t="shared" si="1"/>
        <v>0.29166666666666669</v>
      </c>
      <c r="Y8" s="5">
        <f t="shared" si="2"/>
        <v>0.29166666666666669</v>
      </c>
      <c r="Z8" s="5">
        <f t="shared" si="3"/>
        <v>0.29166666666666669</v>
      </c>
      <c r="AA8" s="5">
        <f t="shared" si="4"/>
        <v>0.29166666666666669</v>
      </c>
      <c r="AB8" s="5">
        <f t="shared" si="5"/>
        <v>0</v>
      </c>
      <c r="AC8" s="5">
        <f t="shared" si="6"/>
        <v>0</v>
      </c>
    </row>
    <row r="9" spans="1:29" x14ac:dyDescent="0.3">
      <c r="A9" s="8" t="s">
        <v>13</v>
      </c>
      <c r="B9" s="14">
        <v>0.39583333333333331</v>
      </c>
      <c r="C9" s="14">
        <v>0.72916666666666663</v>
      </c>
      <c r="D9" s="14">
        <v>0.39583333333333331</v>
      </c>
      <c r="E9" s="14">
        <v>0.72916666666666663</v>
      </c>
      <c r="F9" s="10"/>
      <c r="G9" s="10"/>
      <c r="H9" s="10"/>
      <c r="I9" s="10"/>
      <c r="J9" s="14">
        <v>0.375</v>
      </c>
      <c r="K9" s="14">
        <v>0.70833333333333337</v>
      </c>
      <c r="L9" s="14">
        <v>0.39583333333333331</v>
      </c>
      <c r="M9" s="14">
        <v>0.70833333333333337</v>
      </c>
      <c r="N9" s="14">
        <v>0.39583333333333298</v>
      </c>
      <c r="O9" s="14">
        <v>0.70833333333333337</v>
      </c>
      <c r="P9" s="12">
        <f t="shared" ref="P9:P11" si="7">W9+X9+Y9+Z9+AA9+AB9+AC9</f>
        <v>1.6250000000000004</v>
      </c>
      <c r="W9" s="5">
        <f t="shared" si="0"/>
        <v>0.33333333333333331</v>
      </c>
      <c r="X9" s="5">
        <f t="shared" si="1"/>
        <v>0.33333333333333331</v>
      </c>
      <c r="Y9" s="5">
        <f t="shared" si="2"/>
        <v>0</v>
      </c>
      <c r="Z9" s="5">
        <f t="shared" si="3"/>
        <v>0</v>
      </c>
      <c r="AA9" s="5">
        <f t="shared" si="4"/>
        <v>0.33333333333333337</v>
      </c>
      <c r="AB9" s="5">
        <f t="shared" si="5"/>
        <v>0.31250000000000006</v>
      </c>
      <c r="AC9" s="5">
        <f t="shared" si="6"/>
        <v>0.31250000000000039</v>
      </c>
    </row>
    <row r="10" spans="1:29" x14ac:dyDescent="0.3">
      <c r="A10" s="8" t="s">
        <v>14</v>
      </c>
      <c r="B10" s="10"/>
      <c r="C10" s="10"/>
      <c r="D10" s="14">
        <v>0.39583333333333331</v>
      </c>
      <c r="E10" s="14">
        <v>0.70833333333333337</v>
      </c>
      <c r="F10" s="14">
        <v>0.375</v>
      </c>
      <c r="G10" s="14">
        <v>0.75</v>
      </c>
      <c r="H10" s="14">
        <v>0.39583333333333331</v>
      </c>
      <c r="I10" s="14">
        <v>0.70833333333333337</v>
      </c>
      <c r="J10" s="14">
        <v>0.375</v>
      </c>
      <c r="K10" s="14">
        <v>0.70833333333333337</v>
      </c>
      <c r="L10" s="10"/>
      <c r="M10" s="10"/>
      <c r="N10" s="10"/>
      <c r="O10" s="10"/>
      <c r="P10" s="12">
        <f t="shared" si="7"/>
        <v>1.3333333333333335</v>
      </c>
      <c r="W10" s="5">
        <f t="shared" si="0"/>
        <v>0</v>
      </c>
      <c r="X10" s="5">
        <f t="shared" si="1"/>
        <v>0.31250000000000006</v>
      </c>
      <c r="Y10" s="5">
        <f t="shared" si="2"/>
        <v>0.375</v>
      </c>
      <c r="Z10" s="5">
        <f t="shared" si="3"/>
        <v>0.31250000000000006</v>
      </c>
      <c r="AA10" s="5">
        <f t="shared" si="4"/>
        <v>0.33333333333333337</v>
      </c>
      <c r="AB10" s="5">
        <f t="shared" si="5"/>
        <v>0</v>
      </c>
      <c r="AC10" s="5">
        <f t="shared" si="6"/>
        <v>0</v>
      </c>
    </row>
    <row r="11" spans="1:29" x14ac:dyDescent="0.3">
      <c r="A11" s="9" t="s">
        <v>15</v>
      </c>
      <c r="B11" s="10"/>
      <c r="C11" s="10"/>
      <c r="D11" s="10"/>
      <c r="E11" s="10"/>
      <c r="F11" s="14">
        <v>0.375</v>
      </c>
      <c r="G11" s="14">
        <v>0.70833333333333337</v>
      </c>
      <c r="H11" s="14">
        <v>0.39583333333333331</v>
      </c>
      <c r="I11" s="14">
        <v>0.75</v>
      </c>
      <c r="J11" s="14">
        <v>0.41666666666666669</v>
      </c>
      <c r="K11" s="14">
        <v>0.72916666666666663</v>
      </c>
      <c r="L11" s="14">
        <v>0.39583333333333331</v>
      </c>
      <c r="M11" s="14">
        <v>0.70833333333333337</v>
      </c>
      <c r="N11" s="14">
        <v>0.39583333333333298</v>
      </c>
      <c r="O11" s="14">
        <v>0.70833333333333337</v>
      </c>
      <c r="P11" s="12">
        <f t="shared" si="7"/>
        <v>1.6250000000000004</v>
      </c>
      <c r="W11" s="5">
        <f t="shared" si="0"/>
        <v>0</v>
      </c>
      <c r="X11" s="5">
        <f t="shared" si="1"/>
        <v>0</v>
      </c>
      <c r="Y11" s="5">
        <f t="shared" si="2"/>
        <v>0.33333333333333337</v>
      </c>
      <c r="Z11" s="5">
        <f t="shared" si="3"/>
        <v>0.35416666666666669</v>
      </c>
      <c r="AA11" s="5">
        <f t="shared" si="4"/>
        <v>0.31249999999999994</v>
      </c>
      <c r="AB11" s="5">
        <f t="shared" si="5"/>
        <v>0.31250000000000006</v>
      </c>
      <c r="AC11" s="5">
        <f t="shared" si="6"/>
        <v>0.31250000000000039</v>
      </c>
    </row>
    <row r="12" spans="1:29" x14ac:dyDescent="0.3">
      <c r="A12" s="15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W12" s="5">
        <f t="shared" si="0"/>
        <v>0</v>
      </c>
      <c r="X12" s="5">
        <f t="shared" si="1"/>
        <v>0</v>
      </c>
      <c r="Y12" s="5">
        <f t="shared" si="2"/>
        <v>0</v>
      </c>
      <c r="Z12" s="5">
        <f t="shared" si="3"/>
        <v>0</v>
      </c>
      <c r="AA12" s="5">
        <f t="shared" si="4"/>
        <v>0</v>
      </c>
      <c r="AB12" s="5">
        <f t="shared" si="5"/>
        <v>0</v>
      </c>
      <c r="AC12" s="5">
        <f t="shared" si="6"/>
        <v>0</v>
      </c>
    </row>
    <row r="13" spans="1:29" x14ac:dyDescent="0.3">
      <c r="A13" s="9" t="s">
        <v>16</v>
      </c>
      <c r="B13" s="10"/>
      <c r="C13" s="10"/>
      <c r="D13" s="17">
        <v>0.70833333333333337</v>
      </c>
      <c r="E13" s="17">
        <v>1.0625</v>
      </c>
      <c r="F13" s="17">
        <v>0.72916666666666663</v>
      </c>
      <c r="G13" s="17">
        <v>1.0625</v>
      </c>
      <c r="H13" s="17">
        <v>0.70833333333333304</v>
      </c>
      <c r="I13" s="17">
        <v>1.0625</v>
      </c>
      <c r="J13" s="17">
        <v>0.70833333333333304</v>
      </c>
      <c r="K13" s="17">
        <v>1.0625</v>
      </c>
      <c r="L13" s="17">
        <v>0.70833333333333304</v>
      </c>
      <c r="M13" s="17">
        <v>1.0625</v>
      </c>
      <c r="N13" s="10"/>
      <c r="O13" s="10"/>
      <c r="P13" s="18">
        <f t="shared" ref="P13:P18" si="8">W13+X13+Y13+Z13+AA13+AB13+AC13</f>
        <v>1.7500000000000009</v>
      </c>
      <c r="W13" s="5">
        <f t="shared" si="0"/>
        <v>0</v>
      </c>
      <c r="X13" s="5">
        <f t="shared" si="1"/>
        <v>0.35416666666666663</v>
      </c>
      <c r="Y13" s="5">
        <f t="shared" si="2"/>
        <v>0.33333333333333337</v>
      </c>
      <c r="Z13" s="5">
        <f t="shared" si="3"/>
        <v>0.35416666666666696</v>
      </c>
      <c r="AA13" s="5">
        <f t="shared" si="4"/>
        <v>0.35416666666666696</v>
      </c>
      <c r="AB13" s="5">
        <f t="shared" si="5"/>
        <v>0.35416666666666696</v>
      </c>
      <c r="AC13" s="5">
        <f t="shared" si="6"/>
        <v>0</v>
      </c>
    </row>
    <row r="14" spans="1:29" x14ac:dyDescent="0.3">
      <c r="A14" s="9" t="s">
        <v>17</v>
      </c>
      <c r="B14" s="17">
        <v>0.70833333333333337</v>
      </c>
      <c r="C14" s="17">
        <v>1.0208333333333299</v>
      </c>
      <c r="D14" s="10"/>
      <c r="E14" s="10"/>
      <c r="F14" s="10"/>
      <c r="G14" s="10"/>
      <c r="H14" s="17">
        <v>0.6875</v>
      </c>
      <c r="I14" s="17">
        <v>1.0625</v>
      </c>
      <c r="J14" s="17">
        <v>0.70833333333333304</v>
      </c>
      <c r="K14" s="17">
        <v>1.0625</v>
      </c>
      <c r="L14" s="17">
        <v>0.6875</v>
      </c>
      <c r="M14" s="17">
        <v>1.0625</v>
      </c>
      <c r="N14" s="17">
        <v>0.6875</v>
      </c>
      <c r="O14" s="17">
        <v>1.0208333333333299</v>
      </c>
      <c r="P14" s="18">
        <f t="shared" si="8"/>
        <v>1.7499999999999933</v>
      </c>
      <c r="W14" s="5">
        <f t="shared" si="0"/>
        <v>0.31249999999999656</v>
      </c>
      <c r="X14" s="5">
        <f t="shared" si="1"/>
        <v>0</v>
      </c>
      <c r="Y14" s="5">
        <f t="shared" si="2"/>
        <v>0</v>
      </c>
      <c r="Z14" s="5">
        <f t="shared" si="3"/>
        <v>0.375</v>
      </c>
      <c r="AA14" s="5">
        <f t="shared" si="4"/>
        <v>0.35416666666666696</v>
      </c>
      <c r="AB14" s="5">
        <f t="shared" si="5"/>
        <v>0.375</v>
      </c>
      <c r="AC14" s="5">
        <f t="shared" si="6"/>
        <v>0.33333333333332993</v>
      </c>
    </row>
    <row r="15" spans="1:29" x14ac:dyDescent="0.3">
      <c r="A15" s="19" t="s">
        <v>18</v>
      </c>
      <c r="B15" s="17">
        <v>0.72916666666666663</v>
      </c>
      <c r="C15" s="17">
        <v>1.0208333333333299</v>
      </c>
      <c r="D15" s="17">
        <v>0.70833333333333337</v>
      </c>
      <c r="E15" s="17">
        <v>1.0625</v>
      </c>
      <c r="F15" s="17">
        <v>0.75</v>
      </c>
      <c r="G15" s="17">
        <v>1.0625</v>
      </c>
      <c r="H15" s="20"/>
      <c r="I15" s="20"/>
      <c r="J15" s="20"/>
      <c r="K15" s="20"/>
      <c r="L15" s="17">
        <v>0.70833333333333337</v>
      </c>
      <c r="M15" s="17">
        <v>1.0625</v>
      </c>
      <c r="N15" s="17">
        <v>0.70833333333333337</v>
      </c>
      <c r="O15" s="17">
        <v>1.0208333333333299</v>
      </c>
      <c r="P15" s="18">
        <f t="shared" si="8"/>
        <v>1.6249999999999929</v>
      </c>
      <c r="W15" s="5">
        <f t="shared" si="0"/>
        <v>0.2916666666666633</v>
      </c>
      <c r="X15" s="5">
        <f t="shared" si="1"/>
        <v>0.35416666666666663</v>
      </c>
      <c r="Y15" s="5">
        <f t="shared" si="2"/>
        <v>0.3125</v>
      </c>
      <c r="Z15" s="5">
        <f t="shared" si="3"/>
        <v>0</v>
      </c>
      <c r="AA15" s="5">
        <f t="shared" si="4"/>
        <v>0</v>
      </c>
      <c r="AB15" s="5">
        <f t="shared" si="5"/>
        <v>0.35416666666666663</v>
      </c>
      <c r="AC15" s="5">
        <f t="shared" si="6"/>
        <v>0.31249999999999656</v>
      </c>
    </row>
    <row r="16" spans="1:29" x14ac:dyDescent="0.3">
      <c r="A16" s="8" t="s">
        <v>26</v>
      </c>
      <c r="B16" s="10"/>
      <c r="C16" s="10"/>
      <c r="D16" s="17">
        <v>0.75</v>
      </c>
      <c r="E16" s="17">
        <v>1.0625</v>
      </c>
      <c r="F16" s="17">
        <v>0.75</v>
      </c>
      <c r="G16" s="17">
        <v>1.0625</v>
      </c>
      <c r="H16" s="17">
        <v>0.75</v>
      </c>
      <c r="I16" s="17">
        <v>1.0625</v>
      </c>
      <c r="J16" s="17">
        <v>0.72916666666666663</v>
      </c>
      <c r="K16" s="17">
        <v>1.0625</v>
      </c>
      <c r="L16" s="17">
        <v>0.70833333333333337</v>
      </c>
      <c r="M16" s="17">
        <v>1.0625</v>
      </c>
      <c r="N16" s="10"/>
      <c r="O16" s="10"/>
      <c r="P16" s="18">
        <f t="shared" si="8"/>
        <v>1.625</v>
      </c>
      <c r="W16" s="5">
        <f t="shared" si="0"/>
        <v>0</v>
      </c>
      <c r="X16" s="5">
        <f t="shared" si="1"/>
        <v>0.3125</v>
      </c>
      <c r="Y16" s="5">
        <f t="shared" si="2"/>
        <v>0.3125</v>
      </c>
      <c r="Z16" s="5">
        <f t="shared" si="3"/>
        <v>0.3125</v>
      </c>
      <c r="AA16" s="5">
        <f t="shared" si="4"/>
        <v>0.33333333333333337</v>
      </c>
      <c r="AB16" s="5">
        <f t="shared" si="5"/>
        <v>0.35416666666666663</v>
      </c>
      <c r="AC16" s="5">
        <f t="shared" si="6"/>
        <v>0</v>
      </c>
    </row>
    <row r="17" spans="1:29" x14ac:dyDescent="0.3">
      <c r="A17" s="8" t="s">
        <v>20</v>
      </c>
      <c r="B17" s="17">
        <v>0.72916666666666663</v>
      </c>
      <c r="C17" s="17">
        <v>1.0625</v>
      </c>
      <c r="D17" s="10"/>
      <c r="E17" s="10"/>
      <c r="F17" s="10"/>
      <c r="G17" s="10"/>
      <c r="H17" s="17">
        <v>0.75</v>
      </c>
      <c r="I17" s="17">
        <v>1.0625</v>
      </c>
      <c r="J17" s="17">
        <v>0.75</v>
      </c>
      <c r="K17" s="17">
        <v>1.0625</v>
      </c>
      <c r="L17" s="17">
        <v>0.70833333333333337</v>
      </c>
      <c r="M17" s="17">
        <v>1.0625</v>
      </c>
      <c r="N17" s="17">
        <v>0.70833333333333337</v>
      </c>
      <c r="O17" s="17">
        <v>1.0208333333333299</v>
      </c>
      <c r="P17" s="18">
        <f t="shared" si="8"/>
        <v>1.6249999999999964</v>
      </c>
      <c r="W17" s="5">
        <f t="shared" si="0"/>
        <v>0.33333333333333337</v>
      </c>
      <c r="X17" s="5">
        <f t="shared" si="1"/>
        <v>0</v>
      </c>
      <c r="Y17" s="5">
        <f t="shared" si="2"/>
        <v>0</v>
      </c>
      <c r="Z17" s="5">
        <f t="shared" si="3"/>
        <v>0.3125</v>
      </c>
      <c r="AA17" s="5">
        <f t="shared" si="4"/>
        <v>0.3125</v>
      </c>
      <c r="AB17" s="5">
        <f t="shared" si="5"/>
        <v>0.35416666666666663</v>
      </c>
      <c r="AC17" s="5">
        <f t="shared" si="6"/>
        <v>0.31249999999999656</v>
      </c>
    </row>
    <row r="18" spans="1:29" ht="15" thickBot="1" x14ac:dyDescent="0.35">
      <c r="A18" s="9" t="s">
        <v>21</v>
      </c>
      <c r="B18" s="20"/>
      <c r="C18" s="20"/>
      <c r="D18" s="17">
        <v>0.70833333333333337</v>
      </c>
      <c r="E18" s="17">
        <v>1.0625</v>
      </c>
      <c r="F18" s="17">
        <v>0.70833333333333337</v>
      </c>
      <c r="G18" s="17">
        <v>1.0625</v>
      </c>
      <c r="H18" s="17">
        <v>0.72916666666666663</v>
      </c>
      <c r="I18" s="17">
        <v>1.0625</v>
      </c>
      <c r="J18" s="17">
        <v>0.70833333333333337</v>
      </c>
      <c r="K18" s="17">
        <v>1.0625</v>
      </c>
      <c r="L18" s="17">
        <v>0.70833333333333337</v>
      </c>
      <c r="M18" s="17">
        <v>1.0625</v>
      </c>
      <c r="N18" s="10"/>
      <c r="O18" s="10"/>
      <c r="P18" s="18">
        <f t="shared" si="8"/>
        <v>1.7499999999999996</v>
      </c>
      <c r="W18" s="5">
        <f t="shared" si="0"/>
        <v>0</v>
      </c>
      <c r="X18" s="5">
        <f t="shared" si="1"/>
        <v>0.35416666666666663</v>
      </c>
      <c r="Y18" s="5">
        <f t="shared" si="2"/>
        <v>0.35416666666666663</v>
      </c>
      <c r="Z18" s="5">
        <f t="shared" si="3"/>
        <v>0.33333333333333337</v>
      </c>
      <c r="AA18" s="5">
        <f t="shared" si="4"/>
        <v>0.35416666666666663</v>
      </c>
      <c r="AB18" s="5">
        <f t="shared" si="5"/>
        <v>0.35416666666666663</v>
      </c>
      <c r="AC18" s="5">
        <f t="shared" si="6"/>
        <v>0</v>
      </c>
    </row>
    <row r="19" spans="1:29" ht="15" thickBot="1" x14ac:dyDescent="0.35">
      <c r="A19" s="1" t="e" cm="1">
        <f t="array" ref="A19">+A19:PA19:P+A19:P363628A1:P2A1:P51</f>
        <v>#NAME?</v>
      </c>
      <c r="B19" s="67" t="s">
        <v>0</v>
      </c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8"/>
      <c r="W19" s="5" t="e">
        <f t="shared" si="0"/>
        <v>#VALUE!</v>
      </c>
      <c r="X19" s="5">
        <f t="shared" si="1"/>
        <v>0</v>
      </c>
      <c r="Y19" s="5">
        <f t="shared" si="2"/>
        <v>0</v>
      </c>
      <c r="Z19" s="5">
        <f t="shared" si="3"/>
        <v>0</v>
      </c>
      <c r="AA19" s="5">
        <f t="shared" si="4"/>
        <v>0</v>
      </c>
      <c r="AB19" s="5">
        <f t="shared" si="5"/>
        <v>0</v>
      </c>
      <c r="AC19" s="5">
        <f t="shared" si="6"/>
        <v>0</v>
      </c>
    </row>
    <row r="20" spans="1:29" ht="15" thickBot="1" x14ac:dyDescent="0.35">
      <c r="A20" s="2"/>
      <c r="B20" s="67" t="s">
        <v>25</v>
      </c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8"/>
    </row>
    <row r="21" spans="1:29" x14ac:dyDescent="0.3">
      <c r="A21" s="3"/>
      <c r="B21" s="74" t="s">
        <v>1</v>
      </c>
      <c r="C21" s="75"/>
      <c r="D21" s="74" t="s">
        <v>2</v>
      </c>
      <c r="E21" s="75"/>
      <c r="F21" s="74" t="s">
        <v>3</v>
      </c>
      <c r="G21" s="75"/>
      <c r="H21" s="74" t="s">
        <v>4</v>
      </c>
      <c r="I21" s="75"/>
      <c r="J21" s="74" t="s">
        <v>5</v>
      </c>
      <c r="K21" s="75"/>
      <c r="L21" s="74" t="s">
        <v>6</v>
      </c>
      <c r="M21" s="75"/>
      <c r="N21" s="74" t="s">
        <v>7</v>
      </c>
      <c r="O21" s="75"/>
      <c r="P21" s="4" t="s">
        <v>8</v>
      </c>
    </row>
    <row r="22" spans="1:29" x14ac:dyDescent="0.3">
      <c r="A22" s="6"/>
      <c r="B22" s="72">
        <v>46034</v>
      </c>
      <c r="C22" s="73"/>
      <c r="D22" s="72">
        <v>46035</v>
      </c>
      <c r="E22" s="73"/>
      <c r="F22" s="72">
        <v>46036</v>
      </c>
      <c r="G22" s="73"/>
      <c r="H22" s="72">
        <v>46037</v>
      </c>
      <c r="I22" s="73"/>
      <c r="J22" s="72">
        <v>46038</v>
      </c>
      <c r="K22" s="73"/>
      <c r="L22" s="72">
        <v>46039</v>
      </c>
      <c r="M22" s="73"/>
      <c r="N22" s="72">
        <v>46040</v>
      </c>
      <c r="O22" s="73"/>
      <c r="P22" s="7"/>
    </row>
    <row r="23" spans="1:29" x14ac:dyDescent="0.3">
      <c r="A23" s="8" t="s">
        <v>9</v>
      </c>
      <c r="B23" s="72"/>
      <c r="C23" s="73"/>
      <c r="D23" s="72"/>
      <c r="E23" s="73"/>
      <c r="F23" s="72"/>
      <c r="G23" s="73"/>
      <c r="H23" s="72"/>
      <c r="I23" s="73"/>
      <c r="J23" s="72"/>
      <c r="K23" s="73"/>
      <c r="L23" s="72"/>
      <c r="M23" s="73"/>
      <c r="N23" s="72"/>
      <c r="O23" s="73"/>
      <c r="P23" s="7"/>
    </row>
    <row r="24" spans="1:29" x14ac:dyDescent="0.3">
      <c r="A24" s="9" t="s">
        <v>10</v>
      </c>
      <c r="B24" s="10"/>
      <c r="C24" s="10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0"/>
      <c r="O24" s="10"/>
      <c r="P24" s="12"/>
    </row>
    <row r="25" spans="1:29" x14ac:dyDescent="0.3">
      <c r="A25" s="13" t="s">
        <v>11</v>
      </c>
      <c r="B25" s="14"/>
      <c r="C25" s="14"/>
      <c r="D25" s="10"/>
      <c r="E25" s="10"/>
      <c r="F25" s="10"/>
      <c r="G25" s="10"/>
      <c r="H25" s="14"/>
      <c r="I25" s="14"/>
      <c r="J25" s="10"/>
      <c r="K25" s="10"/>
      <c r="L25" s="10"/>
      <c r="M25" s="10"/>
      <c r="N25" s="10"/>
      <c r="O25" s="10"/>
      <c r="P25" s="12"/>
    </row>
    <row r="26" spans="1:29" x14ac:dyDescent="0.3">
      <c r="A26" s="13" t="s">
        <v>12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0"/>
      <c r="M26" s="10"/>
      <c r="N26" s="10"/>
      <c r="O26" s="10"/>
      <c r="P26" s="12"/>
    </row>
    <row r="27" spans="1:29" x14ac:dyDescent="0.3">
      <c r="A27" s="8" t="s">
        <v>13</v>
      </c>
      <c r="B27" s="14"/>
      <c r="C27" s="14"/>
      <c r="D27" s="10"/>
      <c r="E27" s="10"/>
      <c r="F27" s="10"/>
      <c r="G27" s="10"/>
      <c r="H27" s="10"/>
      <c r="I27" s="10"/>
      <c r="J27" s="10"/>
      <c r="K27" s="10"/>
      <c r="L27" s="14"/>
      <c r="M27" s="14"/>
      <c r="N27" s="14"/>
      <c r="O27" s="14"/>
      <c r="P27" s="12"/>
    </row>
    <row r="28" spans="1:29" x14ac:dyDescent="0.3">
      <c r="A28" s="8" t="s">
        <v>14</v>
      </c>
      <c r="B28" s="10"/>
      <c r="C28" s="10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2"/>
    </row>
    <row r="29" spans="1:29" x14ac:dyDescent="0.3">
      <c r="A29" s="9" t="s">
        <v>15</v>
      </c>
      <c r="B29" s="10"/>
      <c r="C29" s="10"/>
      <c r="D29" s="10"/>
      <c r="E29" s="10"/>
      <c r="F29" s="10"/>
      <c r="G29" s="10"/>
      <c r="H29" s="14"/>
      <c r="I29" s="14"/>
      <c r="J29" s="14"/>
      <c r="K29" s="14"/>
      <c r="L29" s="14"/>
      <c r="M29" s="14"/>
      <c r="N29" s="14"/>
      <c r="O29" s="14"/>
      <c r="P29" s="12"/>
    </row>
    <row r="30" spans="1:29" x14ac:dyDescent="0.3">
      <c r="A30" s="15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</row>
    <row r="31" spans="1:29" x14ac:dyDescent="0.3">
      <c r="A31" s="9" t="s">
        <v>16</v>
      </c>
      <c r="B31" s="10"/>
      <c r="C31" s="10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0"/>
      <c r="O31" s="10"/>
      <c r="P31" s="18"/>
    </row>
    <row r="32" spans="1:29" x14ac:dyDescent="0.3">
      <c r="A32" s="9" t="s">
        <v>17</v>
      </c>
      <c r="B32" s="17"/>
      <c r="C32" s="17"/>
      <c r="D32" s="10"/>
      <c r="E32" s="10"/>
      <c r="F32" s="10"/>
      <c r="G32" s="10"/>
      <c r="H32" s="17"/>
      <c r="I32" s="17"/>
      <c r="J32" s="17"/>
      <c r="K32" s="17"/>
      <c r="L32" s="17"/>
      <c r="M32" s="17"/>
      <c r="N32" s="17"/>
      <c r="O32" s="17"/>
      <c r="P32" s="18"/>
    </row>
    <row r="33" spans="1:16" x14ac:dyDescent="0.3">
      <c r="A33" s="19" t="s">
        <v>18</v>
      </c>
      <c r="B33" s="17"/>
      <c r="C33" s="17"/>
      <c r="D33" s="17"/>
      <c r="E33" s="17"/>
      <c r="F33" s="17"/>
      <c r="G33" s="17"/>
      <c r="H33" s="20"/>
      <c r="I33" s="20"/>
      <c r="J33" s="20"/>
      <c r="K33" s="20"/>
      <c r="L33" s="17"/>
      <c r="M33" s="17"/>
      <c r="N33" s="17"/>
      <c r="O33" s="17"/>
      <c r="P33" s="18"/>
    </row>
    <row r="34" spans="1:16" x14ac:dyDescent="0.3">
      <c r="A34" s="8" t="s">
        <v>26</v>
      </c>
      <c r="B34" s="10"/>
      <c r="C34" s="10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0"/>
      <c r="O34" s="10"/>
      <c r="P34" s="18"/>
    </row>
    <row r="35" spans="1:16" x14ac:dyDescent="0.3">
      <c r="A35" s="8" t="s">
        <v>20</v>
      </c>
      <c r="B35" s="17"/>
      <c r="C35" s="17"/>
      <c r="D35" s="10"/>
      <c r="E35" s="10"/>
      <c r="F35" s="10"/>
      <c r="G35" s="10"/>
      <c r="H35" s="17"/>
      <c r="I35" s="17"/>
      <c r="J35" s="17"/>
      <c r="K35" s="17"/>
      <c r="L35" s="17"/>
      <c r="M35" s="17"/>
      <c r="N35" s="17"/>
      <c r="O35" s="17"/>
      <c r="P35" s="18"/>
    </row>
    <row r="36" spans="1:16" x14ac:dyDescent="0.3">
      <c r="A36" s="9" t="s">
        <v>21</v>
      </c>
      <c r="B36" s="20"/>
      <c r="C36" s="20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0"/>
      <c r="O36" s="10"/>
      <c r="P36" s="18"/>
    </row>
  </sheetData>
  <mergeCells count="46">
    <mergeCell ref="B1:P1"/>
    <mergeCell ref="B2:P2"/>
    <mergeCell ref="B3:C3"/>
    <mergeCell ref="D3:E3"/>
    <mergeCell ref="F3:G3"/>
    <mergeCell ref="H3:I3"/>
    <mergeCell ref="J3:K3"/>
    <mergeCell ref="L3:M3"/>
    <mergeCell ref="N3:O3"/>
    <mergeCell ref="N4:O4"/>
    <mergeCell ref="B5:C5"/>
    <mergeCell ref="D5:E5"/>
    <mergeCell ref="F5:G5"/>
    <mergeCell ref="H5:I5"/>
    <mergeCell ref="J5:K5"/>
    <mergeCell ref="L5:M5"/>
    <mergeCell ref="N5:O5"/>
    <mergeCell ref="B4:C4"/>
    <mergeCell ref="D4:E4"/>
    <mergeCell ref="F4:G4"/>
    <mergeCell ref="H4:I4"/>
    <mergeCell ref="J4:K4"/>
    <mergeCell ref="L4:M4"/>
    <mergeCell ref="B19:P19"/>
    <mergeCell ref="B20:P20"/>
    <mergeCell ref="B21:C21"/>
    <mergeCell ref="D21:E21"/>
    <mergeCell ref="F21:G21"/>
    <mergeCell ref="H21:I21"/>
    <mergeCell ref="J21:K21"/>
    <mergeCell ref="L21:M21"/>
    <mergeCell ref="N21:O21"/>
    <mergeCell ref="N22:O22"/>
    <mergeCell ref="B23:C23"/>
    <mergeCell ref="D23:E23"/>
    <mergeCell ref="F23:G23"/>
    <mergeCell ref="H23:I23"/>
    <mergeCell ref="J23:K23"/>
    <mergeCell ref="L23:M23"/>
    <mergeCell ref="N23:O23"/>
    <mergeCell ref="B22:C22"/>
    <mergeCell ref="D22:E22"/>
    <mergeCell ref="F22:G22"/>
    <mergeCell ref="H22:I22"/>
    <mergeCell ref="J22:K22"/>
    <mergeCell ref="L22:M22"/>
  </mergeCells>
  <pageMargins left="0.7" right="0.7" top="0.75" bottom="0.75" header="0.3" footer="0.3"/>
  <pageSetup paperSize="9" scale="40" orientation="landscape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912F2-F15B-4BD4-8AC9-F096F46AA828}">
  <sheetPr>
    <pageSetUpPr fitToPage="1"/>
  </sheetPr>
  <dimension ref="A1:AC36"/>
  <sheetViews>
    <sheetView topLeftCell="A3" workbookViewId="0">
      <selection activeCell="I38" sqref="I38"/>
    </sheetView>
  </sheetViews>
  <sheetFormatPr baseColWidth="10" defaultRowHeight="14.4" x14ac:dyDescent="0.3"/>
  <sheetData>
    <row r="1" spans="1:29" ht="15" thickBot="1" x14ac:dyDescent="0.35">
      <c r="A1" s="1"/>
      <c r="B1" s="67" t="s">
        <v>0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8"/>
    </row>
    <row r="2" spans="1:29" ht="15" thickBot="1" x14ac:dyDescent="0.35">
      <c r="A2" s="2"/>
      <c r="B2" s="67" t="s">
        <v>27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8"/>
    </row>
    <row r="3" spans="1:29" x14ac:dyDescent="0.3">
      <c r="A3" s="3"/>
      <c r="B3" s="74" t="s">
        <v>1</v>
      </c>
      <c r="C3" s="75"/>
      <c r="D3" s="74" t="s">
        <v>2</v>
      </c>
      <c r="E3" s="75"/>
      <c r="F3" s="74" t="s">
        <v>3</v>
      </c>
      <c r="G3" s="75"/>
      <c r="H3" s="74" t="s">
        <v>4</v>
      </c>
      <c r="I3" s="75"/>
      <c r="J3" s="74" t="s">
        <v>5</v>
      </c>
      <c r="K3" s="75"/>
      <c r="L3" s="74" t="s">
        <v>6</v>
      </c>
      <c r="M3" s="75"/>
      <c r="N3" s="74" t="s">
        <v>7</v>
      </c>
      <c r="O3" s="75"/>
      <c r="P3" s="4" t="s">
        <v>8</v>
      </c>
      <c r="W3" s="5" t="e">
        <f t="shared" ref="W3:W19" si="0">C3-B3</f>
        <v>#VALUE!</v>
      </c>
      <c r="X3" s="5" t="e">
        <f t="shared" ref="X3:X19" si="1">E3-D3</f>
        <v>#VALUE!</v>
      </c>
      <c r="Y3" s="5" t="e">
        <f t="shared" ref="Y3:Y19" si="2">G3-F3</f>
        <v>#VALUE!</v>
      </c>
      <c r="Z3" s="5" t="e">
        <f t="shared" ref="Z3:Z19" si="3">I3-H3</f>
        <v>#VALUE!</v>
      </c>
      <c r="AA3" s="5" t="e">
        <f t="shared" ref="AA3:AA19" si="4">K3-J3</f>
        <v>#VALUE!</v>
      </c>
      <c r="AB3" s="5" t="e">
        <f t="shared" ref="AB3:AB19" si="5">M3-L3</f>
        <v>#VALUE!</v>
      </c>
      <c r="AC3" s="5" t="e">
        <f t="shared" ref="AC3:AC19" si="6">O3-N3</f>
        <v>#VALUE!</v>
      </c>
    </row>
    <row r="4" spans="1:29" x14ac:dyDescent="0.3">
      <c r="A4" s="6"/>
      <c r="B4" s="72">
        <v>46041</v>
      </c>
      <c r="C4" s="73"/>
      <c r="D4" s="72">
        <v>46042</v>
      </c>
      <c r="E4" s="73"/>
      <c r="F4" s="72">
        <v>46043</v>
      </c>
      <c r="G4" s="73"/>
      <c r="H4" s="72">
        <v>46044</v>
      </c>
      <c r="I4" s="73"/>
      <c r="J4" s="72">
        <v>46045</v>
      </c>
      <c r="K4" s="73"/>
      <c r="L4" s="72">
        <v>46046</v>
      </c>
      <c r="M4" s="73"/>
      <c r="N4" s="72">
        <v>46047</v>
      </c>
      <c r="O4" s="73"/>
      <c r="P4" s="7"/>
      <c r="W4" s="5">
        <f t="shared" si="0"/>
        <v>-46041</v>
      </c>
      <c r="X4" s="5">
        <f t="shared" si="1"/>
        <v>-46042</v>
      </c>
      <c r="Y4" s="5">
        <f t="shared" si="2"/>
        <v>-46043</v>
      </c>
      <c r="Z4" s="5">
        <f t="shared" si="3"/>
        <v>-46044</v>
      </c>
      <c r="AA4" s="5">
        <f t="shared" si="4"/>
        <v>-46045</v>
      </c>
      <c r="AB4" s="5">
        <f t="shared" si="5"/>
        <v>-46046</v>
      </c>
      <c r="AC4" s="5">
        <f t="shared" si="6"/>
        <v>-46047</v>
      </c>
    </row>
    <row r="5" spans="1:29" x14ac:dyDescent="0.3">
      <c r="A5" s="8" t="s">
        <v>9</v>
      </c>
      <c r="B5" s="72"/>
      <c r="C5" s="73"/>
      <c r="D5" s="72"/>
      <c r="E5" s="73"/>
      <c r="F5" s="72"/>
      <c r="G5" s="73"/>
      <c r="H5" s="72"/>
      <c r="I5" s="73"/>
      <c r="J5" s="72"/>
      <c r="K5" s="73"/>
      <c r="L5" s="72"/>
      <c r="M5" s="73"/>
      <c r="N5" s="72"/>
      <c r="O5" s="73"/>
      <c r="P5" s="7"/>
      <c r="W5" s="5">
        <f t="shared" si="0"/>
        <v>0</v>
      </c>
      <c r="X5" s="5">
        <f t="shared" si="1"/>
        <v>0</v>
      </c>
      <c r="Y5" s="5">
        <f t="shared" si="2"/>
        <v>0</v>
      </c>
      <c r="Z5" s="5">
        <f t="shared" si="3"/>
        <v>0</v>
      </c>
      <c r="AA5" s="5">
        <f t="shared" si="4"/>
        <v>0</v>
      </c>
      <c r="AB5" s="5">
        <f t="shared" si="5"/>
        <v>0</v>
      </c>
      <c r="AC5" s="5">
        <f t="shared" si="6"/>
        <v>0</v>
      </c>
    </row>
    <row r="6" spans="1:29" x14ac:dyDescent="0.3">
      <c r="A6" s="9" t="s">
        <v>10</v>
      </c>
      <c r="B6" s="10"/>
      <c r="C6" s="10"/>
      <c r="D6" s="11">
        <v>0.39583333333333331</v>
      </c>
      <c r="E6" s="11">
        <v>0.72916666666666663</v>
      </c>
      <c r="F6" s="11">
        <v>0.375</v>
      </c>
      <c r="G6" s="11">
        <v>0.72916666666666663</v>
      </c>
      <c r="H6" s="11">
        <v>0.41666666666666669</v>
      </c>
      <c r="I6" s="11">
        <v>0.72916666666666663</v>
      </c>
      <c r="J6" s="11">
        <v>0.375</v>
      </c>
      <c r="K6" s="11">
        <v>0.70833333333333337</v>
      </c>
      <c r="L6" s="11">
        <v>0.41666666666666669</v>
      </c>
      <c r="M6" s="11">
        <v>0.70833333333333337</v>
      </c>
      <c r="N6" s="10"/>
      <c r="O6" s="10"/>
      <c r="P6" s="12">
        <f>W6+X6+Y6+Z6+AA6+AB6+AC6</f>
        <v>1.6250000000000002</v>
      </c>
      <c r="W6" s="5">
        <f t="shared" si="0"/>
        <v>0</v>
      </c>
      <c r="X6" s="5">
        <f t="shared" si="1"/>
        <v>0.33333333333333331</v>
      </c>
      <c r="Y6" s="5">
        <f t="shared" si="2"/>
        <v>0.35416666666666663</v>
      </c>
      <c r="Z6" s="5">
        <f t="shared" si="3"/>
        <v>0.31249999999999994</v>
      </c>
      <c r="AA6" s="5">
        <f t="shared" si="4"/>
        <v>0.33333333333333337</v>
      </c>
      <c r="AB6" s="5">
        <f t="shared" si="5"/>
        <v>0.29166666666666669</v>
      </c>
      <c r="AC6" s="5">
        <f t="shared" si="6"/>
        <v>0</v>
      </c>
    </row>
    <row r="7" spans="1:29" x14ac:dyDescent="0.3">
      <c r="A7" s="13" t="s">
        <v>11</v>
      </c>
      <c r="B7" s="14">
        <v>0.39583333333333331</v>
      </c>
      <c r="C7" s="14">
        <v>0.72916666666666663</v>
      </c>
      <c r="D7" s="10"/>
      <c r="E7" s="10"/>
      <c r="F7" s="10"/>
      <c r="G7" s="10"/>
      <c r="H7" s="21">
        <v>0.39583333333333331</v>
      </c>
      <c r="I7" s="21">
        <v>0.72916666666666663</v>
      </c>
      <c r="J7" s="21">
        <v>0.39583333333333331</v>
      </c>
      <c r="K7" s="21">
        <v>0.72916666666666663</v>
      </c>
      <c r="L7" s="14">
        <v>0.39583333333333331</v>
      </c>
      <c r="M7" s="14">
        <v>0.70833333333333337</v>
      </c>
      <c r="N7" s="14">
        <v>0.39583333333333331</v>
      </c>
      <c r="O7" s="14">
        <v>0.70833333333333337</v>
      </c>
      <c r="P7" s="12">
        <f>W7+X7+Y7+Z7+AA7+AB7+AC7</f>
        <v>1.625</v>
      </c>
      <c r="W7" s="5">
        <f t="shared" si="0"/>
        <v>0.33333333333333331</v>
      </c>
      <c r="X7" s="5">
        <f t="shared" si="1"/>
        <v>0</v>
      </c>
      <c r="Y7" s="5">
        <f t="shared" si="2"/>
        <v>0</v>
      </c>
      <c r="Z7" s="5">
        <f t="shared" si="3"/>
        <v>0.33333333333333331</v>
      </c>
      <c r="AA7" s="5">
        <f t="shared" si="4"/>
        <v>0.33333333333333331</v>
      </c>
      <c r="AB7" s="5">
        <f t="shared" si="5"/>
        <v>0.31250000000000006</v>
      </c>
      <c r="AC7" s="5">
        <f t="shared" si="6"/>
        <v>0.31250000000000006</v>
      </c>
    </row>
    <row r="8" spans="1:29" x14ac:dyDescent="0.3">
      <c r="A8" s="13" t="s">
        <v>12</v>
      </c>
      <c r="B8" s="14">
        <v>0.41666666666666669</v>
      </c>
      <c r="C8" s="14">
        <v>0.70833333333333337</v>
      </c>
      <c r="D8" s="14">
        <v>0.41666666666666669</v>
      </c>
      <c r="E8" s="14">
        <v>0.70833333333333337</v>
      </c>
      <c r="F8" s="14">
        <v>0.41666666666666669</v>
      </c>
      <c r="G8" s="14">
        <v>0.70833333333333337</v>
      </c>
      <c r="H8" s="14">
        <v>0.41666666666666669</v>
      </c>
      <c r="I8" s="14">
        <v>0.70833333333333337</v>
      </c>
      <c r="J8" s="14">
        <v>0.41666666666666669</v>
      </c>
      <c r="K8" s="14">
        <v>0.70833333333333337</v>
      </c>
      <c r="L8" s="10"/>
      <c r="M8" s="10"/>
      <c r="N8" s="10"/>
      <c r="O8" s="10"/>
      <c r="P8" s="12">
        <f>W8+X8+Y8+Z8+AA8+AB8+AC8</f>
        <v>1.4583333333333335</v>
      </c>
      <c r="W8" s="5">
        <f t="shared" si="0"/>
        <v>0.29166666666666669</v>
      </c>
      <c r="X8" s="5">
        <f t="shared" si="1"/>
        <v>0.29166666666666669</v>
      </c>
      <c r="Y8" s="5">
        <f t="shared" si="2"/>
        <v>0.29166666666666669</v>
      </c>
      <c r="Z8" s="5">
        <f t="shared" si="3"/>
        <v>0.29166666666666669</v>
      </c>
      <c r="AA8" s="5">
        <f t="shared" si="4"/>
        <v>0.29166666666666669</v>
      </c>
      <c r="AB8" s="5">
        <f t="shared" si="5"/>
        <v>0</v>
      </c>
      <c r="AC8" s="5">
        <f t="shared" si="6"/>
        <v>0</v>
      </c>
    </row>
    <row r="9" spans="1:29" x14ac:dyDescent="0.3">
      <c r="A9" s="8" t="s">
        <v>13</v>
      </c>
      <c r="B9" s="14">
        <v>0.39583333333333331</v>
      </c>
      <c r="C9" s="14">
        <v>0.72916666666666663</v>
      </c>
      <c r="D9" s="14">
        <v>0.39583333333333331</v>
      </c>
      <c r="E9" s="14">
        <v>0.72916666666666663</v>
      </c>
      <c r="F9" s="10"/>
      <c r="G9" s="10"/>
      <c r="H9" s="10"/>
      <c r="I9" s="10"/>
      <c r="J9" s="14">
        <v>0.375</v>
      </c>
      <c r="K9" s="14">
        <v>0.70833333333333337</v>
      </c>
      <c r="L9" s="14">
        <v>0.39583333333333331</v>
      </c>
      <c r="M9" s="14">
        <v>0.70833333333333337</v>
      </c>
      <c r="N9" s="10"/>
      <c r="O9" s="10"/>
      <c r="P9" s="12">
        <f t="shared" ref="P9:P11" si="7">W9+X9+Y9+Z9+AA9+AB9+AC9</f>
        <v>1.3125</v>
      </c>
      <c r="W9" s="5">
        <f t="shared" si="0"/>
        <v>0.33333333333333331</v>
      </c>
      <c r="X9" s="5">
        <f t="shared" si="1"/>
        <v>0.33333333333333331</v>
      </c>
      <c r="Y9" s="5">
        <f t="shared" si="2"/>
        <v>0</v>
      </c>
      <c r="Z9" s="5">
        <f t="shared" si="3"/>
        <v>0</v>
      </c>
      <c r="AA9" s="5">
        <f t="shared" si="4"/>
        <v>0.33333333333333337</v>
      </c>
      <c r="AB9" s="5">
        <f t="shared" si="5"/>
        <v>0.31250000000000006</v>
      </c>
      <c r="AC9" s="5">
        <f t="shared" si="6"/>
        <v>0</v>
      </c>
    </row>
    <row r="10" spans="1:29" x14ac:dyDescent="0.3">
      <c r="A10" s="8" t="s">
        <v>14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2">
        <f t="shared" si="7"/>
        <v>0</v>
      </c>
      <c r="W10" s="5">
        <f t="shared" si="0"/>
        <v>0</v>
      </c>
      <c r="X10" s="5">
        <f t="shared" si="1"/>
        <v>0</v>
      </c>
      <c r="Y10" s="5">
        <f t="shared" si="2"/>
        <v>0</v>
      </c>
      <c r="Z10" s="5">
        <f t="shared" si="3"/>
        <v>0</v>
      </c>
      <c r="AA10" s="5">
        <f t="shared" si="4"/>
        <v>0</v>
      </c>
      <c r="AB10" s="5">
        <f t="shared" si="5"/>
        <v>0</v>
      </c>
      <c r="AC10" s="5">
        <f t="shared" si="6"/>
        <v>0</v>
      </c>
    </row>
    <row r="11" spans="1:29" x14ac:dyDescent="0.3">
      <c r="A11" s="9" t="s">
        <v>15</v>
      </c>
      <c r="B11" s="10"/>
      <c r="C11" s="10"/>
      <c r="D11" s="10"/>
      <c r="E11" s="10"/>
      <c r="F11" s="14">
        <v>0.375</v>
      </c>
      <c r="G11" s="14">
        <v>0.70833333333333337</v>
      </c>
      <c r="H11" s="14">
        <v>0.39583333333333331</v>
      </c>
      <c r="I11" s="14">
        <v>0.75</v>
      </c>
      <c r="J11" s="14">
        <v>0.41666666666666669</v>
      </c>
      <c r="K11" s="14">
        <v>0.72916666666666663</v>
      </c>
      <c r="L11" s="14">
        <v>0.39583333333333331</v>
      </c>
      <c r="M11" s="14">
        <v>0.70833333333333337</v>
      </c>
      <c r="N11" s="14">
        <v>0.39583333333333298</v>
      </c>
      <c r="O11" s="14">
        <v>0.70833333333333337</v>
      </c>
      <c r="P11" s="12">
        <f t="shared" si="7"/>
        <v>1.6250000000000004</v>
      </c>
      <c r="W11" s="5">
        <f t="shared" si="0"/>
        <v>0</v>
      </c>
      <c r="X11" s="5">
        <f t="shared" si="1"/>
        <v>0</v>
      </c>
      <c r="Y11" s="5">
        <f t="shared" si="2"/>
        <v>0.33333333333333337</v>
      </c>
      <c r="Z11" s="5">
        <f t="shared" si="3"/>
        <v>0.35416666666666669</v>
      </c>
      <c r="AA11" s="5">
        <f t="shared" si="4"/>
        <v>0.31249999999999994</v>
      </c>
      <c r="AB11" s="5">
        <f t="shared" si="5"/>
        <v>0.31250000000000006</v>
      </c>
      <c r="AC11" s="5">
        <f t="shared" si="6"/>
        <v>0.31250000000000039</v>
      </c>
    </row>
    <row r="12" spans="1:29" x14ac:dyDescent="0.3">
      <c r="A12" s="15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W12" s="5">
        <f t="shared" si="0"/>
        <v>0</v>
      </c>
      <c r="X12" s="5">
        <f t="shared" si="1"/>
        <v>0</v>
      </c>
      <c r="Y12" s="5">
        <f t="shared" si="2"/>
        <v>0</v>
      </c>
      <c r="Z12" s="5">
        <f t="shared" si="3"/>
        <v>0</v>
      </c>
      <c r="AA12" s="5">
        <f t="shared" si="4"/>
        <v>0</v>
      </c>
      <c r="AB12" s="5">
        <f t="shared" si="5"/>
        <v>0</v>
      </c>
      <c r="AC12" s="5">
        <f t="shared" si="6"/>
        <v>0</v>
      </c>
    </row>
    <row r="13" spans="1:29" x14ac:dyDescent="0.3">
      <c r="A13" s="9" t="s">
        <v>16</v>
      </c>
      <c r="B13" s="10"/>
      <c r="C13" s="10"/>
      <c r="D13" s="17">
        <v>0.70833333333333337</v>
      </c>
      <c r="E13" s="17">
        <v>1.0625</v>
      </c>
      <c r="F13" s="17">
        <v>0.72916666666666663</v>
      </c>
      <c r="G13" s="17">
        <v>1.0625</v>
      </c>
      <c r="H13" s="17">
        <v>0.70833333333333304</v>
      </c>
      <c r="I13" s="17">
        <v>1.0625</v>
      </c>
      <c r="J13" s="17">
        <v>0.70833333333333304</v>
      </c>
      <c r="K13" s="17">
        <v>1.0625</v>
      </c>
      <c r="L13" s="17">
        <v>0.70833333333333304</v>
      </c>
      <c r="M13" s="17">
        <v>1.0625</v>
      </c>
      <c r="N13" s="10"/>
      <c r="O13" s="10"/>
      <c r="P13" s="18">
        <f t="shared" ref="P13:P18" si="8">W13+X13+Y13+Z13+AA13+AB13+AC13</f>
        <v>1.7500000000000009</v>
      </c>
      <c r="W13" s="5">
        <f t="shared" si="0"/>
        <v>0</v>
      </c>
      <c r="X13" s="5">
        <f t="shared" si="1"/>
        <v>0.35416666666666663</v>
      </c>
      <c r="Y13" s="5">
        <f t="shared" si="2"/>
        <v>0.33333333333333337</v>
      </c>
      <c r="Z13" s="5">
        <f t="shared" si="3"/>
        <v>0.35416666666666696</v>
      </c>
      <c r="AA13" s="5">
        <f t="shared" si="4"/>
        <v>0.35416666666666696</v>
      </c>
      <c r="AB13" s="5">
        <f t="shared" si="5"/>
        <v>0.35416666666666696</v>
      </c>
      <c r="AC13" s="5">
        <f t="shared" si="6"/>
        <v>0</v>
      </c>
    </row>
    <row r="14" spans="1:29" x14ac:dyDescent="0.3">
      <c r="A14" s="9" t="s">
        <v>17</v>
      </c>
      <c r="B14" s="17">
        <v>0.70833333333333337</v>
      </c>
      <c r="C14" s="17">
        <v>1.0208333333333299</v>
      </c>
      <c r="D14" s="10"/>
      <c r="E14" s="10"/>
      <c r="F14" s="10"/>
      <c r="G14" s="10"/>
      <c r="H14" s="17">
        <v>0.6875</v>
      </c>
      <c r="I14" s="17">
        <v>1.0625</v>
      </c>
      <c r="J14" s="17">
        <v>0.70833333333333304</v>
      </c>
      <c r="K14" s="17">
        <v>1.0625</v>
      </c>
      <c r="L14" s="17">
        <v>0.6875</v>
      </c>
      <c r="M14" s="17">
        <v>1.0625</v>
      </c>
      <c r="N14" s="17">
        <v>0.6875</v>
      </c>
      <c r="O14" s="17">
        <v>1.0208333333333299</v>
      </c>
      <c r="P14" s="18">
        <f t="shared" si="8"/>
        <v>1.7499999999999933</v>
      </c>
      <c r="W14" s="5">
        <f t="shared" si="0"/>
        <v>0.31249999999999656</v>
      </c>
      <c r="X14" s="5">
        <f t="shared" si="1"/>
        <v>0</v>
      </c>
      <c r="Y14" s="5">
        <f t="shared" si="2"/>
        <v>0</v>
      </c>
      <c r="Z14" s="5">
        <f t="shared" si="3"/>
        <v>0.375</v>
      </c>
      <c r="AA14" s="5">
        <f t="shared" si="4"/>
        <v>0.35416666666666696</v>
      </c>
      <c r="AB14" s="5">
        <f t="shared" si="5"/>
        <v>0.375</v>
      </c>
      <c r="AC14" s="5">
        <f t="shared" si="6"/>
        <v>0.33333333333332993</v>
      </c>
    </row>
    <row r="15" spans="1:29" x14ac:dyDescent="0.3">
      <c r="A15" s="19" t="s">
        <v>18</v>
      </c>
      <c r="B15" s="17">
        <v>0.72916666666666663</v>
      </c>
      <c r="C15" s="17">
        <v>1.0208333333333299</v>
      </c>
      <c r="D15" s="17">
        <v>0.70833333333333337</v>
      </c>
      <c r="E15" s="17">
        <v>1.0625</v>
      </c>
      <c r="F15" s="17">
        <v>0.75</v>
      </c>
      <c r="G15" s="17">
        <v>1.0625</v>
      </c>
      <c r="H15" s="20"/>
      <c r="I15" s="20"/>
      <c r="J15" s="20"/>
      <c r="K15" s="20"/>
      <c r="L15" s="17">
        <v>0.70833333333333337</v>
      </c>
      <c r="M15" s="17">
        <v>1.0625</v>
      </c>
      <c r="N15" s="17">
        <v>0.70833333333333337</v>
      </c>
      <c r="O15" s="17">
        <v>1.0208333333333299</v>
      </c>
      <c r="P15" s="18">
        <f t="shared" si="8"/>
        <v>1.6249999999999929</v>
      </c>
      <c r="W15" s="5">
        <f t="shared" si="0"/>
        <v>0.2916666666666633</v>
      </c>
      <c r="X15" s="5">
        <f t="shared" si="1"/>
        <v>0.35416666666666663</v>
      </c>
      <c r="Y15" s="5">
        <f t="shared" si="2"/>
        <v>0.3125</v>
      </c>
      <c r="Z15" s="5">
        <f t="shared" si="3"/>
        <v>0</v>
      </c>
      <c r="AA15" s="5">
        <f t="shared" si="4"/>
        <v>0</v>
      </c>
      <c r="AB15" s="5">
        <f t="shared" si="5"/>
        <v>0.35416666666666663</v>
      </c>
      <c r="AC15" s="5">
        <f t="shared" si="6"/>
        <v>0.31249999999999656</v>
      </c>
    </row>
    <row r="16" spans="1:29" x14ac:dyDescent="0.3">
      <c r="A16" s="8" t="s">
        <v>26</v>
      </c>
      <c r="B16" s="10"/>
      <c r="C16" s="10"/>
      <c r="D16" s="17">
        <v>0.75</v>
      </c>
      <c r="E16" s="17">
        <v>1.0625</v>
      </c>
      <c r="F16" s="17">
        <v>0.75</v>
      </c>
      <c r="G16" s="17">
        <v>1.0625</v>
      </c>
      <c r="H16" s="17">
        <v>0.75</v>
      </c>
      <c r="I16" s="17">
        <v>1.0625</v>
      </c>
      <c r="J16" s="17">
        <v>0.72916666666666663</v>
      </c>
      <c r="K16" s="17">
        <v>1.0625</v>
      </c>
      <c r="L16" s="17">
        <v>0.70833333333333337</v>
      </c>
      <c r="M16" s="17">
        <v>1.0625</v>
      </c>
      <c r="N16" s="10"/>
      <c r="O16" s="10"/>
      <c r="P16" s="18">
        <f t="shared" si="8"/>
        <v>1.625</v>
      </c>
      <c r="W16" s="5">
        <f t="shared" si="0"/>
        <v>0</v>
      </c>
      <c r="X16" s="5">
        <f t="shared" si="1"/>
        <v>0.3125</v>
      </c>
      <c r="Y16" s="5">
        <f t="shared" si="2"/>
        <v>0.3125</v>
      </c>
      <c r="Z16" s="5">
        <f t="shared" si="3"/>
        <v>0.3125</v>
      </c>
      <c r="AA16" s="5">
        <f t="shared" si="4"/>
        <v>0.33333333333333337</v>
      </c>
      <c r="AB16" s="5">
        <f t="shared" si="5"/>
        <v>0.35416666666666663</v>
      </c>
      <c r="AC16" s="5">
        <f t="shared" si="6"/>
        <v>0</v>
      </c>
    </row>
    <row r="17" spans="1:29" x14ac:dyDescent="0.3">
      <c r="A17" s="8" t="s">
        <v>20</v>
      </c>
      <c r="B17" s="17">
        <v>0.72916666666666663</v>
      </c>
      <c r="C17" s="17">
        <v>1.0625</v>
      </c>
      <c r="D17" s="10"/>
      <c r="E17" s="10"/>
      <c r="F17" s="10"/>
      <c r="G17" s="10"/>
      <c r="H17" s="17">
        <v>0.75</v>
      </c>
      <c r="I17" s="17">
        <v>1.0625</v>
      </c>
      <c r="J17" s="17">
        <v>0.75</v>
      </c>
      <c r="K17" s="17">
        <v>1.0625</v>
      </c>
      <c r="L17" s="17">
        <v>0.70833333333333337</v>
      </c>
      <c r="M17" s="17">
        <v>1.0625</v>
      </c>
      <c r="N17" s="17">
        <v>0.70833333333333337</v>
      </c>
      <c r="O17" s="17">
        <v>1.0208333333333299</v>
      </c>
      <c r="P17" s="18">
        <f t="shared" si="8"/>
        <v>1.6249999999999964</v>
      </c>
      <c r="W17" s="5">
        <f t="shared" si="0"/>
        <v>0.33333333333333337</v>
      </c>
      <c r="X17" s="5">
        <f t="shared" si="1"/>
        <v>0</v>
      </c>
      <c r="Y17" s="5">
        <f t="shared" si="2"/>
        <v>0</v>
      </c>
      <c r="Z17" s="5">
        <f t="shared" si="3"/>
        <v>0.3125</v>
      </c>
      <c r="AA17" s="5">
        <f t="shared" si="4"/>
        <v>0.3125</v>
      </c>
      <c r="AB17" s="5">
        <f t="shared" si="5"/>
        <v>0.35416666666666663</v>
      </c>
      <c r="AC17" s="5">
        <f t="shared" si="6"/>
        <v>0.31249999999999656</v>
      </c>
    </row>
    <row r="18" spans="1:29" ht="15" thickBot="1" x14ac:dyDescent="0.35">
      <c r="A18" s="9" t="s">
        <v>21</v>
      </c>
      <c r="B18" s="20"/>
      <c r="C18" s="20"/>
      <c r="D18" s="17">
        <v>0.70833333333333337</v>
      </c>
      <c r="E18" s="17">
        <v>1.0625</v>
      </c>
      <c r="F18" s="17">
        <v>0.70833333333333337</v>
      </c>
      <c r="G18" s="17">
        <v>1.0625</v>
      </c>
      <c r="H18" s="17">
        <v>0.72916666666666663</v>
      </c>
      <c r="I18" s="17">
        <v>1.0625</v>
      </c>
      <c r="J18" s="17">
        <v>0.70833333333333337</v>
      </c>
      <c r="K18" s="17">
        <v>1.0625</v>
      </c>
      <c r="L18" s="17">
        <v>0.70833333333333337</v>
      </c>
      <c r="M18" s="17">
        <v>1.0625</v>
      </c>
      <c r="N18" s="10"/>
      <c r="O18" s="10"/>
      <c r="P18" s="18">
        <f t="shared" si="8"/>
        <v>1.7499999999999996</v>
      </c>
      <c r="W18" s="5">
        <f t="shared" si="0"/>
        <v>0</v>
      </c>
      <c r="X18" s="5">
        <f t="shared" si="1"/>
        <v>0.35416666666666663</v>
      </c>
      <c r="Y18" s="5">
        <f t="shared" si="2"/>
        <v>0.35416666666666663</v>
      </c>
      <c r="Z18" s="5">
        <f t="shared" si="3"/>
        <v>0.33333333333333337</v>
      </c>
      <c r="AA18" s="5">
        <f t="shared" si="4"/>
        <v>0.35416666666666663</v>
      </c>
      <c r="AB18" s="5">
        <f t="shared" si="5"/>
        <v>0.35416666666666663</v>
      </c>
      <c r="AC18" s="5">
        <f t="shared" si="6"/>
        <v>0</v>
      </c>
    </row>
    <row r="19" spans="1:29" ht="15" thickBot="1" x14ac:dyDescent="0.35">
      <c r="A19" s="1" t="e" cm="1">
        <f t="array" ref="A19">+A19:PA19:P+A19:P363628A1:P2A1:P51</f>
        <v>#NAME?</v>
      </c>
      <c r="B19" s="67" t="s">
        <v>0</v>
      </c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8"/>
      <c r="W19" s="5" t="e">
        <f t="shared" si="0"/>
        <v>#VALUE!</v>
      </c>
      <c r="X19" s="5">
        <f t="shared" si="1"/>
        <v>0</v>
      </c>
      <c r="Y19" s="5">
        <f t="shared" si="2"/>
        <v>0</v>
      </c>
      <c r="Z19" s="5">
        <f t="shared" si="3"/>
        <v>0</v>
      </c>
      <c r="AA19" s="5">
        <f t="shared" si="4"/>
        <v>0</v>
      </c>
      <c r="AB19" s="5">
        <f t="shared" si="5"/>
        <v>0</v>
      </c>
      <c r="AC19" s="5">
        <f t="shared" si="6"/>
        <v>0</v>
      </c>
    </row>
    <row r="20" spans="1:29" ht="15" thickBot="1" x14ac:dyDescent="0.35">
      <c r="A20" s="2"/>
      <c r="B20" s="67" t="s">
        <v>27</v>
      </c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8"/>
    </row>
    <row r="21" spans="1:29" x14ac:dyDescent="0.3">
      <c r="A21" s="3"/>
      <c r="B21" s="74" t="s">
        <v>1</v>
      </c>
      <c r="C21" s="75"/>
      <c r="D21" s="74" t="s">
        <v>2</v>
      </c>
      <c r="E21" s="75"/>
      <c r="F21" s="74" t="s">
        <v>3</v>
      </c>
      <c r="G21" s="75"/>
      <c r="H21" s="74" t="s">
        <v>4</v>
      </c>
      <c r="I21" s="75"/>
      <c r="J21" s="74" t="s">
        <v>5</v>
      </c>
      <c r="K21" s="75"/>
      <c r="L21" s="74" t="s">
        <v>6</v>
      </c>
      <c r="M21" s="75"/>
      <c r="N21" s="74" t="s">
        <v>7</v>
      </c>
      <c r="O21" s="75"/>
      <c r="P21" s="4" t="s">
        <v>8</v>
      </c>
    </row>
    <row r="22" spans="1:29" x14ac:dyDescent="0.3">
      <c r="A22" s="6"/>
      <c r="B22" s="72">
        <v>46041</v>
      </c>
      <c r="C22" s="73"/>
      <c r="D22" s="72">
        <v>46042</v>
      </c>
      <c r="E22" s="73"/>
      <c r="F22" s="72">
        <v>46043</v>
      </c>
      <c r="G22" s="73"/>
      <c r="H22" s="72">
        <v>46044</v>
      </c>
      <c r="I22" s="73"/>
      <c r="J22" s="72">
        <v>46045</v>
      </c>
      <c r="K22" s="73"/>
      <c r="L22" s="72">
        <v>46046</v>
      </c>
      <c r="M22" s="73"/>
      <c r="N22" s="72">
        <v>46047</v>
      </c>
      <c r="O22" s="73"/>
      <c r="P22" s="7"/>
    </row>
    <row r="23" spans="1:29" x14ac:dyDescent="0.3">
      <c r="A23" s="8" t="s">
        <v>9</v>
      </c>
      <c r="B23" s="72"/>
      <c r="C23" s="73"/>
      <c r="D23" s="72"/>
      <c r="E23" s="73"/>
      <c r="F23" s="72"/>
      <c r="G23" s="73"/>
      <c r="H23" s="72"/>
      <c r="I23" s="73"/>
      <c r="J23" s="72"/>
      <c r="K23" s="73"/>
      <c r="L23" s="72"/>
      <c r="M23" s="73"/>
      <c r="N23" s="72"/>
      <c r="O23" s="73"/>
      <c r="P23" s="7"/>
    </row>
    <row r="24" spans="1:29" x14ac:dyDescent="0.3">
      <c r="A24" s="9" t="s">
        <v>10</v>
      </c>
      <c r="B24" s="10"/>
      <c r="C24" s="10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0"/>
      <c r="O24" s="10"/>
      <c r="P24" s="12"/>
    </row>
    <row r="25" spans="1:29" x14ac:dyDescent="0.3">
      <c r="A25" s="13" t="s">
        <v>11</v>
      </c>
      <c r="B25" s="14"/>
      <c r="C25" s="14"/>
      <c r="D25" s="10"/>
      <c r="E25" s="10"/>
      <c r="F25" s="10"/>
      <c r="G25" s="10"/>
      <c r="H25" s="21"/>
      <c r="I25" s="21"/>
      <c r="J25" s="21"/>
      <c r="K25" s="21"/>
      <c r="L25" s="14"/>
      <c r="M25" s="14"/>
      <c r="N25" s="14"/>
      <c r="O25" s="14"/>
      <c r="P25" s="12"/>
    </row>
    <row r="26" spans="1:29" x14ac:dyDescent="0.3">
      <c r="A26" s="13" t="s">
        <v>12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0"/>
      <c r="M26" s="10"/>
      <c r="N26" s="10"/>
      <c r="O26" s="10"/>
      <c r="P26" s="12"/>
    </row>
    <row r="27" spans="1:29" x14ac:dyDescent="0.3">
      <c r="A27" s="8" t="s">
        <v>13</v>
      </c>
      <c r="B27" s="14"/>
      <c r="C27" s="14"/>
      <c r="D27" s="14"/>
      <c r="E27" s="14"/>
      <c r="F27" s="10"/>
      <c r="G27" s="10"/>
      <c r="H27" s="10"/>
      <c r="I27" s="10"/>
      <c r="J27" s="14"/>
      <c r="K27" s="14"/>
      <c r="L27" s="14"/>
      <c r="M27" s="14"/>
      <c r="N27" s="10"/>
      <c r="O27" s="10"/>
      <c r="P27" s="12"/>
    </row>
    <row r="28" spans="1:29" x14ac:dyDescent="0.3">
      <c r="A28" s="8" t="s">
        <v>14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2"/>
    </row>
    <row r="29" spans="1:29" x14ac:dyDescent="0.3">
      <c r="A29" s="9" t="s">
        <v>15</v>
      </c>
      <c r="B29" s="10"/>
      <c r="C29" s="10"/>
      <c r="D29" s="10"/>
      <c r="E29" s="10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2"/>
    </row>
    <row r="30" spans="1:29" x14ac:dyDescent="0.3">
      <c r="A30" s="15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</row>
    <row r="31" spans="1:29" x14ac:dyDescent="0.3">
      <c r="A31" s="9" t="s">
        <v>16</v>
      </c>
      <c r="B31" s="10"/>
      <c r="C31" s="10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0"/>
      <c r="O31" s="10"/>
      <c r="P31" s="18"/>
    </row>
    <row r="32" spans="1:29" x14ac:dyDescent="0.3">
      <c r="A32" s="9" t="s">
        <v>17</v>
      </c>
      <c r="B32" s="17"/>
      <c r="C32" s="17"/>
      <c r="D32" s="10"/>
      <c r="E32" s="10"/>
      <c r="F32" s="10"/>
      <c r="G32" s="10"/>
      <c r="H32" s="17"/>
      <c r="I32" s="17"/>
      <c r="J32" s="17"/>
      <c r="K32" s="17"/>
      <c r="L32" s="17"/>
      <c r="M32" s="17"/>
      <c r="N32" s="17"/>
      <c r="O32" s="17"/>
      <c r="P32" s="18"/>
    </row>
    <row r="33" spans="1:16" x14ac:dyDescent="0.3">
      <c r="A33" s="19" t="s">
        <v>18</v>
      </c>
      <c r="B33" s="17"/>
      <c r="C33" s="17"/>
      <c r="D33" s="17"/>
      <c r="E33" s="17"/>
      <c r="F33" s="17"/>
      <c r="G33" s="17"/>
      <c r="H33" s="20"/>
      <c r="I33" s="20"/>
      <c r="J33" s="20"/>
      <c r="K33" s="20"/>
      <c r="L33" s="17"/>
      <c r="M33" s="17"/>
      <c r="N33" s="17"/>
      <c r="O33" s="17"/>
      <c r="P33" s="18"/>
    </row>
    <row r="34" spans="1:16" x14ac:dyDescent="0.3">
      <c r="A34" s="8" t="s">
        <v>26</v>
      </c>
      <c r="B34" s="10"/>
      <c r="C34" s="10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0"/>
      <c r="O34" s="10"/>
      <c r="P34" s="18"/>
    </row>
    <row r="35" spans="1:16" x14ac:dyDescent="0.3">
      <c r="A35" s="8" t="s">
        <v>20</v>
      </c>
      <c r="B35" s="17"/>
      <c r="C35" s="17"/>
      <c r="D35" s="10"/>
      <c r="E35" s="10"/>
      <c r="F35" s="10"/>
      <c r="G35" s="10"/>
      <c r="H35" s="17"/>
      <c r="I35" s="17"/>
      <c r="J35" s="17"/>
      <c r="K35" s="17"/>
      <c r="L35" s="17"/>
      <c r="M35" s="17"/>
      <c r="N35" s="17"/>
      <c r="O35" s="17"/>
      <c r="P35" s="18"/>
    </row>
    <row r="36" spans="1:16" x14ac:dyDescent="0.3">
      <c r="A36" s="9" t="s">
        <v>21</v>
      </c>
      <c r="B36" s="20"/>
      <c r="C36" s="20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0"/>
      <c r="O36" s="10"/>
      <c r="P36" s="18"/>
    </row>
  </sheetData>
  <mergeCells count="46">
    <mergeCell ref="N22:O22"/>
    <mergeCell ref="B23:C23"/>
    <mergeCell ref="D23:E23"/>
    <mergeCell ref="F23:G23"/>
    <mergeCell ref="H23:I23"/>
    <mergeCell ref="J23:K23"/>
    <mergeCell ref="L23:M23"/>
    <mergeCell ref="N23:O23"/>
    <mergeCell ref="B22:C22"/>
    <mergeCell ref="D22:E22"/>
    <mergeCell ref="F22:G22"/>
    <mergeCell ref="H22:I22"/>
    <mergeCell ref="J22:K22"/>
    <mergeCell ref="L22:M22"/>
    <mergeCell ref="B19:P19"/>
    <mergeCell ref="B20:P20"/>
    <mergeCell ref="B21:C21"/>
    <mergeCell ref="D21:E21"/>
    <mergeCell ref="F21:G21"/>
    <mergeCell ref="H21:I21"/>
    <mergeCell ref="J21:K21"/>
    <mergeCell ref="L21:M21"/>
    <mergeCell ref="N21:O21"/>
    <mergeCell ref="N4:O4"/>
    <mergeCell ref="B5:C5"/>
    <mergeCell ref="D5:E5"/>
    <mergeCell ref="F5:G5"/>
    <mergeCell ref="H5:I5"/>
    <mergeCell ref="J5:K5"/>
    <mergeCell ref="L5:M5"/>
    <mergeCell ref="N5:O5"/>
    <mergeCell ref="B4:C4"/>
    <mergeCell ref="D4:E4"/>
    <mergeCell ref="F4:G4"/>
    <mergeCell ref="H4:I4"/>
    <mergeCell ref="J4:K4"/>
    <mergeCell ref="L4:M4"/>
    <mergeCell ref="B1:P1"/>
    <mergeCell ref="B2:P2"/>
    <mergeCell ref="B3:C3"/>
    <mergeCell ref="D3:E3"/>
    <mergeCell ref="F3:G3"/>
    <mergeCell ref="H3:I3"/>
    <mergeCell ref="J3:K3"/>
    <mergeCell ref="L3:M3"/>
    <mergeCell ref="N3:O3"/>
  </mergeCells>
  <pageMargins left="0.7" right="0.7" top="0.75" bottom="0.75" header="0.3" footer="0.3"/>
  <pageSetup paperSize="9" scale="3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D3B98-766D-4DF3-B2ED-4DCA33CC4532}">
  <sheetPr>
    <pageSetUpPr fitToPage="1"/>
  </sheetPr>
  <dimension ref="A1:AC34"/>
  <sheetViews>
    <sheetView zoomScaleNormal="100" workbookViewId="0">
      <selection activeCell="D10" sqref="D10:M10"/>
    </sheetView>
  </sheetViews>
  <sheetFormatPr baseColWidth="10" defaultRowHeight="14.4" x14ac:dyDescent="0.3"/>
  <sheetData>
    <row r="1" spans="1:29" ht="15" thickBot="1" x14ac:dyDescent="0.35">
      <c r="A1" s="1"/>
      <c r="B1" s="67" t="s">
        <v>0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8"/>
    </row>
    <row r="2" spans="1:29" ht="15" thickBot="1" x14ac:dyDescent="0.35">
      <c r="A2" s="2"/>
      <c r="B2" s="67" t="s">
        <v>29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8"/>
    </row>
    <row r="3" spans="1:29" x14ac:dyDescent="0.3">
      <c r="A3" s="3"/>
      <c r="B3" s="74" t="s">
        <v>1</v>
      </c>
      <c r="C3" s="75"/>
      <c r="D3" s="74" t="s">
        <v>2</v>
      </c>
      <c r="E3" s="75"/>
      <c r="F3" s="74" t="s">
        <v>3</v>
      </c>
      <c r="G3" s="75"/>
      <c r="H3" s="74" t="s">
        <v>4</v>
      </c>
      <c r="I3" s="75"/>
      <c r="J3" s="74" t="s">
        <v>5</v>
      </c>
      <c r="K3" s="75"/>
      <c r="L3" s="74" t="s">
        <v>6</v>
      </c>
      <c r="M3" s="75"/>
      <c r="N3" s="74" t="s">
        <v>7</v>
      </c>
      <c r="O3" s="75"/>
      <c r="P3" s="4" t="s">
        <v>8</v>
      </c>
      <c r="W3" s="5" t="e">
        <f t="shared" ref="W3:W18" si="0">C3-B3</f>
        <v>#VALUE!</v>
      </c>
      <c r="X3" s="5" t="e">
        <f t="shared" ref="X3:X18" si="1">E3-D3</f>
        <v>#VALUE!</v>
      </c>
      <c r="Y3" s="5" t="e">
        <f t="shared" ref="Y3:Y18" si="2">G3-F3</f>
        <v>#VALUE!</v>
      </c>
      <c r="Z3" s="5" t="e">
        <f t="shared" ref="Z3:Z18" si="3">I3-H3</f>
        <v>#VALUE!</v>
      </c>
      <c r="AA3" s="5" t="e">
        <f t="shared" ref="AA3:AA18" si="4">K3-J3</f>
        <v>#VALUE!</v>
      </c>
      <c r="AB3" s="5" t="e">
        <f t="shared" ref="AB3:AB18" si="5">M3-L3</f>
        <v>#VALUE!</v>
      </c>
      <c r="AC3" s="5" t="e">
        <f t="shared" ref="AC3:AC18" si="6">O3-N3</f>
        <v>#VALUE!</v>
      </c>
    </row>
    <row r="4" spans="1:29" x14ac:dyDescent="0.3">
      <c r="A4" s="6"/>
      <c r="B4" s="72">
        <v>46048</v>
      </c>
      <c r="C4" s="73"/>
      <c r="D4" s="72">
        <v>46049</v>
      </c>
      <c r="E4" s="73"/>
      <c r="F4" s="72">
        <v>46050</v>
      </c>
      <c r="G4" s="73"/>
      <c r="H4" s="72">
        <v>46051</v>
      </c>
      <c r="I4" s="73"/>
      <c r="J4" s="72">
        <v>46052</v>
      </c>
      <c r="K4" s="73"/>
      <c r="L4" s="72">
        <v>46053</v>
      </c>
      <c r="M4" s="73"/>
      <c r="N4" s="72">
        <v>46054</v>
      </c>
      <c r="O4" s="73"/>
      <c r="P4" s="7"/>
      <c r="W4" s="5">
        <f t="shared" si="0"/>
        <v>-46048</v>
      </c>
      <c r="X4" s="5">
        <f t="shared" si="1"/>
        <v>-46049</v>
      </c>
      <c r="Y4" s="5">
        <f t="shared" si="2"/>
        <v>-46050</v>
      </c>
      <c r="Z4" s="5">
        <f t="shared" si="3"/>
        <v>-46051</v>
      </c>
      <c r="AA4" s="5">
        <f t="shared" si="4"/>
        <v>-46052</v>
      </c>
      <c r="AB4" s="5">
        <f t="shared" si="5"/>
        <v>-46053</v>
      </c>
      <c r="AC4" s="5">
        <f t="shared" si="6"/>
        <v>-46054</v>
      </c>
    </row>
    <row r="5" spans="1:29" x14ac:dyDescent="0.3">
      <c r="A5" s="8" t="s">
        <v>9</v>
      </c>
      <c r="B5" s="72"/>
      <c r="C5" s="73"/>
      <c r="D5" s="72"/>
      <c r="E5" s="73"/>
      <c r="F5" s="72"/>
      <c r="G5" s="73"/>
      <c r="H5" s="72"/>
      <c r="I5" s="73"/>
      <c r="J5" s="72"/>
      <c r="K5" s="73"/>
      <c r="L5" s="72"/>
      <c r="M5" s="73"/>
      <c r="N5" s="72"/>
      <c r="O5" s="73"/>
      <c r="P5" s="7"/>
      <c r="W5" s="5">
        <f t="shared" si="0"/>
        <v>0</v>
      </c>
      <c r="X5" s="5">
        <f t="shared" si="1"/>
        <v>0</v>
      </c>
      <c r="Y5" s="5">
        <f t="shared" si="2"/>
        <v>0</v>
      </c>
      <c r="Z5" s="5">
        <f t="shared" si="3"/>
        <v>0</v>
      </c>
      <c r="AA5" s="5">
        <f t="shared" si="4"/>
        <v>0</v>
      </c>
      <c r="AB5" s="5">
        <f t="shared" si="5"/>
        <v>0</v>
      </c>
      <c r="AC5" s="5">
        <f t="shared" si="6"/>
        <v>0</v>
      </c>
    </row>
    <row r="6" spans="1:29" x14ac:dyDescent="0.3">
      <c r="A6" s="9" t="s">
        <v>10</v>
      </c>
      <c r="B6" s="10"/>
      <c r="C6" s="10"/>
      <c r="D6" s="11">
        <v>0.39583333333333331</v>
      </c>
      <c r="E6" s="11">
        <v>0.72916666666666663</v>
      </c>
      <c r="F6" s="11">
        <v>0.375</v>
      </c>
      <c r="G6" s="11">
        <v>0.72916666666666663</v>
      </c>
      <c r="H6" s="11">
        <v>0.41666666666666669</v>
      </c>
      <c r="I6" s="11">
        <v>0.72916666666666663</v>
      </c>
      <c r="J6" s="11">
        <v>0.375</v>
      </c>
      <c r="K6" s="11">
        <v>0.70833333333333337</v>
      </c>
      <c r="L6" s="11">
        <v>0.41666666666666669</v>
      </c>
      <c r="M6" s="11">
        <v>0.70833333333333337</v>
      </c>
      <c r="N6" s="10"/>
      <c r="O6" s="10"/>
      <c r="P6" s="12">
        <f>W6+X6+Y6+Z6+AA6+AB6+AC6</f>
        <v>1.6250000000000002</v>
      </c>
      <c r="W6" s="5">
        <f t="shared" si="0"/>
        <v>0</v>
      </c>
      <c r="X6" s="5">
        <f t="shared" si="1"/>
        <v>0.33333333333333331</v>
      </c>
      <c r="Y6" s="5">
        <f t="shared" si="2"/>
        <v>0.35416666666666663</v>
      </c>
      <c r="Z6" s="5">
        <f t="shared" si="3"/>
        <v>0.31249999999999994</v>
      </c>
      <c r="AA6" s="5">
        <f t="shared" si="4"/>
        <v>0.33333333333333337</v>
      </c>
      <c r="AB6" s="5">
        <f t="shared" si="5"/>
        <v>0.29166666666666669</v>
      </c>
      <c r="AC6" s="5">
        <f t="shared" si="6"/>
        <v>0</v>
      </c>
    </row>
    <row r="7" spans="1:29" x14ac:dyDescent="0.3">
      <c r="A7" s="13" t="s">
        <v>11</v>
      </c>
      <c r="B7" s="14">
        <v>0.39583333333333331</v>
      </c>
      <c r="C7" s="14">
        <v>0.72916666666666663</v>
      </c>
      <c r="D7" s="10"/>
      <c r="E7" s="10"/>
      <c r="F7" s="10"/>
      <c r="G7" s="10"/>
      <c r="H7" s="21">
        <v>0.39583333333333331</v>
      </c>
      <c r="I7" s="21">
        <v>0.72916666666666663</v>
      </c>
      <c r="J7" s="14">
        <v>0.39583333333333331</v>
      </c>
      <c r="K7" s="14">
        <v>0.72916666666666663</v>
      </c>
      <c r="L7" s="14">
        <v>0.39583333333333331</v>
      </c>
      <c r="M7" s="14">
        <v>0.70833333333333337</v>
      </c>
      <c r="N7" s="14">
        <v>0.39583333333333331</v>
      </c>
      <c r="O7" s="14">
        <v>0.70833333333333337</v>
      </c>
      <c r="P7" s="12">
        <f>W7+X7+Y7+Z7+AA7+AB7+AC7</f>
        <v>1.625</v>
      </c>
      <c r="W7" s="5">
        <f t="shared" si="0"/>
        <v>0.33333333333333331</v>
      </c>
      <c r="X7" s="5">
        <f t="shared" si="1"/>
        <v>0</v>
      </c>
      <c r="Y7" s="5">
        <f t="shared" si="2"/>
        <v>0</v>
      </c>
      <c r="Z7" s="5">
        <f t="shared" si="3"/>
        <v>0.33333333333333331</v>
      </c>
      <c r="AA7" s="5">
        <f t="shared" si="4"/>
        <v>0.33333333333333331</v>
      </c>
      <c r="AB7" s="5">
        <f t="shared" si="5"/>
        <v>0.31250000000000006</v>
      </c>
      <c r="AC7" s="5">
        <f t="shared" si="6"/>
        <v>0.31250000000000006</v>
      </c>
    </row>
    <row r="8" spans="1:29" x14ac:dyDescent="0.3">
      <c r="A8" s="13" t="s">
        <v>12</v>
      </c>
      <c r="B8" s="11">
        <v>0.41666666666666669</v>
      </c>
      <c r="C8" s="11">
        <v>0.70833333333333337</v>
      </c>
      <c r="D8" s="11">
        <v>0.41666666666666669</v>
      </c>
      <c r="E8" s="11">
        <v>0.70833333333333337</v>
      </c>
      <c r="F8" s="11">
        <v>0.41666666666666669</v>
      </c>
      <c r="G8" s="11">
        <v>0.70833333333333337</v>
      </c>
      <c r="H8" s="11">
        <v>0.41666666666666669</v>
      </c>
      <c r="I8" s="11">
        <v>0.70833333333333337</v>
      </c>
      <c r="J8" s="11">
        <v>0.41666666666666669</v>
      </c>
      <c r="K8" s="11">
        <v>0.70833333333333337</v>
      </c>
      <c r="L8" s="10"/>
      <c r="M8" s="10"/>
      <c r="N8" s="10"/>
      <c r="O8" s="10"/>
      <c r="P8" s="12">
        <f>W8+X8+Y8+Z8+AA8+AB8+AC8</f>
        <v>1.4583333333333335</v>
      </c>
      <c r="W8" s="5">
        <f t="shared" si="0"/>
        <v>0.29166666666666669</v>
      </c>
      <c r="X8" s="5">
        <f t="shared" si="1"/>
        <v>0.29166666666666669</v>
      </c>
      <c r="Y8" s="5">
        <f t="shared" si="2"/>
        <v>0.29166666666666669</v>
      </c>
      <c r="Z8" s="5">
        <f t="shared" si="3"/>
        <v>0.29166666666666669</v>
      </c>
      <c r="AA8" s="5">
        <f t="shared" si="4"/>
        <v>0.29166666666666669</v>
      </c>
      <c r="AB8" s="5">
        <f t="shared" si="5"/>
        <v>0</v>
      </c>
      <c r="AC8" s="5">
        <f t="shared" si="6"/>
        <v>0</v>
      </c>
    </row>
    <row r="9" spans="1:29" x14ac:dyDescent="0.3">
      <c r="A9" s="8" t="s">
        <v>28</v>
      </c>
      <c r="B9" s="14">
        <v>0.39583333333333331</v>
      </c>
      <c r="C9" s="14">
        <v>0.72916666666666663</v>
      </c>
      <c r="D9" s="14">
        <v>0.39583333333333331</v>
      </c>
      <c r="E9" s="14">
        <v>0.72916666666666663</v>
      </c>
      <c r="F9" s="14">
        <v>0.375</v>
      </c>
      <c r="G9" s="14">
        <v>0.70833333333333337</v>
      </c>
      <c r="H9" s="10"/>
      <c r="I9" s="10"/>
      <c r="J9" s="10"/>
      <c r="K9" s="10"/>
      <c r="L9" s="14">
        <v>0.39583333333333331</v>
      </c>
      <c r="M9" s="14">
        <v>0.70833333333333337</v>
      </c>
      <c r="N9" s="14">
        <v>0.39583333333333331</v>
      </c>
      <c r="O9" s="14">
        <v>0.70833333333333337</v>
      </c>
      <c r="P9" s="12">
        <f t="shared" ref="P9:P10" si="7">W9+X9+Y9+Z9+AA9+AB9+AC9</f>
        <v>1.625</v>
      </c>
      <c r="W9" s="5">
        <f t="shared" si="0"/>
        <v>0.33333333333333331</v>
      </c>
      <c r="X9" s="5">
        <f t="shared" si="1"/>
        <v>0.33333333333333331</v>
      </c>
      <c r="Y9" s="5">
        <f t="shared" si="2"/>
        <v>0.33333333333333337</v>
      </c>
      <c r="Z9" s="5">
        <f t="shared" si="3"/>
        <v>0</v>
      </c>
      <c r="AA9" s="5">
        <f t="shared" si="4"/>
        <v>0</v>
      </c>
      <c r="AB9" s="5">
        <f t="shared" si="5"/>
        <v>0.31250000000000006</v>
      </c>
      <c r="AC9" s="5">
        <f t="shared" si="6"/>
        <v>0.31250000000000006</v>
      </c>
    </row>
    <row r="10" spans="1:29" x14ac:dyDescent="0.3">
      <c r="A10" s="8" t="s">
        <v>14</v>
      </c>
      <c r="B10" s="10"/>
      <c r="C10" s="10"/>
      <c r="D10" s="14">
        <v>0.39583333333333331</v>
      </c>
      <c r="E10" s="14">
        <v>0.70833333333333337</v>
      </c>
      <c r="F10" s="14">
        <v>0.375</v>
      </c>
      <c r="G10" s="14">
        <v>0.75</v>
      </c>
      <c r="H10" s="14">
        <v>0.39583333333333331</v>
      </c>
      <c r="I10" s="14">
        <v>0.70833333333333337</v>
      </c>
      <c r="J10" s="14">
        <v>0.375</v>
      </c>
      <c r="K10" s="14">
        <v>0.70833333333333337</v>
      </c>
      <c r="L10" s="14">
        <v>0.41666666666666669</v>
      </c>
      <c r="M10" s="14">
        <v>0.70833333333333337</v>
      </c>
      <c r="N10" s="10"/>
      <c r="O10" s="10"/>
      <c r="P10" s="12">
        <f t="shared" si="7"/>
        <v>1.6250000000000002</v>
      </c>
      <c r="W10" s="5">
        <f t="shared" si="0"/>
        <v>0</v>
      </c>
      <c r="X10" s="5">
        <f t="shared" si="1"/>
        <v>0.31250000000000006</v>
      </c>
      <c r="Y10" s="5">
        <f t="shared" si="2"/>
        <v>0.375</v>
      </c>
      <c r="Z10" s="5">
        <f t="shared" si="3"/>
        <v>0.31250000000000006</v>
      </c>
      <c r="AA10" s="5">
        <f t="shared" si="4"/>
        <v>0.33333333333333337</v>
      </c>
      <c r="AB10" s="5">
        <f t="shared" si="5"/>
        <v>0.29166666666666669</v>
      </c>
      <c r="AC10" s="5">
        <f t="shared" si="6"/>
        <v>0</v>
      </c>
    </row>
    <row r="11" spans="1:29" x14ac:dyDescent="0.3">
      <c r="A11" s="15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W11" s="5">
        <f t="shared" si="0"/>
        <v>0</v>
      </c>
      <c r="X11" s="5">
        <f t="shared" si="1"/>
        <v>0</v>
      </c>
      <c r="Y11" s="5">
        <f t="shared" si="2"/>
        <v>0</v>
      </c>
      <c r="Z11" s="5">
        <f t="shared" si="3"/>
        <v>0</v>
      </c>
      <c r="AA11" s="5">
        <f t="shared" si="4"/>
        <v>0</v>
      </c>
      <c r="AB11" s="5">
        <f t="shared" si="5"/>
        <v>0</v>
      </c>
      <c r="AC11" s="5">
        <f t="shared" si="6"/>
        <v>0</v>
      </c>
    </row>
    <row r="12" spans="1:29" x14ac:dyDescent="0.3">
      <c r="A12" s="9" t="s">
        <v>16</v>
      </c>
      <c r="B12" s="10"/>
      <c r="C12" s="10"/>
      <c r="D12" s="17">
        <v>0.70833333333333337</v>
      </c>
      <c r="E12" s="17">
        <v>1.0625</v>
      </c>
      <c r="F12" s="17">
        <v>0.72916666666666663</v>
      </c>
      <c r="G12" s="17">
        <v>1.0625</v>
      </c>
      <c r="H12" s="17">
        <v>0.70833333333333304</v>
      </c>
      <c r="I12" s="17">
        <v>1.0625</v>
      </c>
      <c r="J12" s="17">
        <v>0.70833333333333304</v>
      </c>
      <c r="K12" s="17">
        <v>1.0625</v>
      </c>
      <c r="L12" s="17">
        <v>0.70833333333333304</v>
      </c>
      <c r="M12" s="17">
        <v>1.0625</v>
      </c>
      <c r="N12" s="10"/>
      <c r="O12" s="10"/>
      <c r="P12" s="18">
        <f t="shared" ref="P12:P17" si="8">W12+X12+Y12+Z12+AA12+AB12+AC12</f>
        <v>1.7500000000000009</v>
      </c>
      <c r="W12" s="5">
        <f t="shared" si="0"/>
        <v>0</v>
      </c>
      <c r="X12" s="5">
        <f t="shared" si="1"/>
        <v>0.35416666666666663</v>
      </c>
      <c r="Y12" s="5">
        <f t="shared" si="2"/>
        <v>0.33333333333333337</v>
      </c>
      <c r="Z12" s="5">
        <f t="shared" si="3"/>
        <v>0.35416666666666696</v>
      </c>
      <c r="AA12" s="5">
        <f t="shared" si="4"/>
        <v>0.35416666666666696</v>
      </c>
      <c r="AB12" s="5">
        <f t="shared" si="5"/>
        <v>0.35416666666666696</v>
      </c>
      <c r="AC12" s="5">
        <f t="shared" si="6"/>
        <v>0</v>
      </c>
    </row>
    <row r="13" spans="1:29" x14ac:dyDescent="0.3">
      <c r="A13" s="9" t="s">
        <v>17</v>
      </c>
      <c r="B13" s="17">
        <v>0.70833333333333337</v>
      </c>
      <c r="C13" s="17">
        <v>1.0208333333333299</v>
      </c>
      <c r="D13" s="10"/>
      <c r="E13" s="10"/>
      <c r="F13" s="10"/>
      <c r="G13" s="10"/>
      <c r="H13" s="17">
        <v>0.6875</v>
      </c>
      <c r="I13" s="17">
        <v>1.0625</v>
      </c>
      <c r="J13" s="17">
        <v>0.70833333333333304</v>
      </c>
      <c r="K13" s="17">
        <v>1.0625</v>
      </c>
      <c r="L13" s="17">
        <v>0.6875</v>
      </c>
      <c r="M13" s="17">
        <v>1.0625</v>
      </c>
      <c r="N13" s="17">
        <v>0.6875</v>
      </c>
      <c r="O13" s="17">
        <v>1.0208333333333299</v>
      </c>
      <c r="P13" s="18">
        <f t="shared" si="8"/>
        <v>1.7499999999999933</v>
      </c>
      <c r="W13" s="5">
        <f t="shared" si="0"/>
        <v>0.31249999999999656</v>
      </c>
      <c r="X13" s="5">
        <f t="shared" si="1"/>
        <v>0</v>
      </c>
      <c r="Y13" s="5">
        <f t="shared" si="2"/>
        <v>0</v>
      </c>
      <c r="Z13" s="5">
        <f t="shared" si="3"/>
        <v>0.375</v>
      </c>
      <c r="AA13" s="5">
        <f t="shared" si="4"/>
        <v>0.35416666666666696</v>
      </c>
      <c r="AB13" s="5">
        <f t="shared" si="5"/>
        <v>0.375</v>
      </c>
      <c r="AC13" s="5">
        <f t="shared" si="6"/>
        <v>0.33333333333332993</v>
      </c>
    </row>
    <row r="14" spans="1:29" x14ac:dyDescent="0.3">
      <c r="A14" s="19" t="s">
        <v>18</v>
      </c>
      <c r="B14" s="17">
        <v>0.72916666666666663</v>
      </c>
      <c r="C14" s="17">
        <v>1.0208333333333299</v>
      </c>
      <c r="D14" s="17">
        <v>0.70833333333333337</v>
      </c>
      <c r="E14" s="17">
        <v>1.0625</v>
      </c>
      <c r="F14" s="17">
        <v>0.75</v>
      </c>
      <c r="G14" s="17">
        <v>1.0625</v>
      </c>
      <c r="H14" s="20"/>
      <c r="I14" s="20"/>
      <c r="J14" s="20"/>
      <c r="K14" s="20"/>
      <c r="L14" s="17">
        <v>0.70833333333333337</v>
      </c>
      <c r="M14" s="17">
        <v>1.0625</v>
      </c>
      <c r="N14" s="17">
        <v>0.70833333333333337</v>
      </c>
      <c r="O14" s="17">
        <v>1.0208333333333299</v>
      </c>
      <c r="P14" s="18">
        <f t="shared" si="8"/>
        <v>1.6249999999999929</v>
      </c>
      <c r="W14" s="5">
        <f t="shared" si="0"/>
        <v>0.2916666666666633</v>
      </c>
      <c r="X14" s="5">
        <f t="shared" si="1"/>
        <v>0.35416666666666663</v>
      </c>
      <c r="Y14" s="5">
        <f t="shared" si="2"/>
        <v>0.3125</v>
      </c>
      <c r="Z14" s="5">
        <f t="shared" si="3"/>
        <v>0</v>
      </c>
      <c r="AA14" s="5">
        <f t="shared" si="4"/>
        <v>0</v>
      </c>
      <c r="AB14" s="5">
        <f t="shared" si="5"/>
        <v>0.35416666666666663</v>
      </c>
      <c r="AC14" s="5">
        <f t="shared" si="6"/>
        <v>0.31249999999999656</v>
      </c>
    </row>
    <row r="15" spans="1:29" x14ac:dyDescent="0.3">
      <c r="A15" s="8" t="s">
        <v>26</v>
      </c>
      <c r="B15" s="10"/>
      <c r="C15" s="10"/>
      <c r="D15" s="17">
        <v>0.75</v>
      </c>
      <c r="E15" s="17">
        <v>1.0625</v>
      </c>
      <c r="F15" s="17">
        <v>0.75</v>
      </c>
      <c r="G15" s="17">
        <v>1.0625</v>
      </c>
      <c r="H15" s="17">
        <v>0.75</v>
      </c>
      <c r="I15" s="17">
        <v>1.0625</v>
      </c>
      <c r="J15" s="17">
        <v>0.72916666666666663</v>
      </c>
      <c r="K15" s="17">
        <v>1.0625</v>
      </c>
      <c r="L15" s="17">
        <v>0.70833333333333337</v>
      </c>
      <c r="M15" s="17">
        <v>1.0625</v>
      </c>
      <c r="N15" s="10"/>
      <c r="O15" s="10"/>
      <c r="P15" s="18">
        <f t="shared" si="8"/>
        <v>1.625</v>
      </c>
      <c r="W15" s="5">
        <f t="shared" si="0"/>
        <v>0</v>
      </c>
      <c r="X15" s="5">
        <f t="shared" si="1"/>
        <v>0.3125</v>
      </c>
      <c r="Y15" s="5">
        <f t="shared" si="2"/>
        <v>0.3125</v>
      </c>
      <c r="Z15" s="5">
        <f t="shared" si="3"/>
        <v>0.3125</v>
      </c>
      <c r="AA15" s="5">
        <f t="shared" si="4"/>
        <v>0.33333333333333337</v>
      </c>
      <c r="AB15" s="5">
        <f t="shared" si="5"/>
        <v>0.35416666666666663</v>
      </c>
      <c r="AC15" s="5">
        <f t="shared" si="6"/>
        <v>0</v>
      </c>
    </row>
    <row r="16" spans="1:29" x14ac:dyDescent="0.3">
      <c r="A16" s="8" t="s">
        <v>20</v>
      </c>
      <c r="B16" s="17">
        <v>0.72916666666666663</v>
      </c>
      <c r="C16" s="17">
        <v>1.0625</v>
      </c>
      <c r="D16" s="10"/>
      <c r="E16" s="10"/>
      <c r="F16" s="10"/>
      <c r="G16" s="10"/>
      <c r="H16" s="17">
        <v>0.75</v>
      </c>
      <c r="I16" s="17">
        <v>1.0625</v>
      </c>
      <c r="J16" s="17">
        <v>0.75</v>
      </c>
      <c r="K16" s="17">
        <v>1.0625</v>
      </c>
      <c r="L16" s="17">
        <v>0.70833333333333337</v>
      </c>
      <c r="M16" s="17">
        <v>1.0625</v>
      </c>
      <c r="N16" s="17">
        <v>0.70833333333333337</v>
      </c>
      <c r="O16" s="17">
        <v>1.0208333333333299</v>
      </c>
      <c r="P16" s="18">
        <f t="shared" si="8"/>
        <v>1.6249999999999964</v>
      </c>
      <c r="W16" s="5">
        <f t="shared" si="0"/>
        <v>0.33333333333333337</v>
      </c>
      <c r="X16" s="5">
        <f t="shared" si="1"/>
        <v>0</v>
      </c>
      <c r="Y16" s="5">
        <f t="shared" si="2"/>
        <v>0</v>
      </c>
      <c r="Z16" s="5">
        <f t="shared" si="3"/>
        <v>0.3125</v>
      </c>
      <c r="AA16" s="5">
        <f t="shared" si="4"/>
        <v>0.3125</v>
      </c>
      <c r="AB16" s="5">
        <f t="shared" si="5"/>
        <v>0.35416666666666663</v>
      </c>
      <c r="AC16" s="5">
        <f t="shared" si="6"/>
        <v>0.31249999999999656</v>
      </c>
    </row>
    <row r="17" spans="1:29" ht="15" thickBot="1" x14ac:dyDescent="0.35">
      <c r="A17" s="9" t="s">
        <v>21</v>
      </c>
      <c r="B17" s="20"/>
      <c r="C17" s="20"/>
      <c r="D17" s="17">
        <v>0.70833333333333337</v>
      </c>
      <c r="E17" s="17">
        <v>1.0625</v>
      </c>
      <c r="F17" s="17">
        <v>0.70833333333333337</v>
      </c>
      <c r="G17" s="17">
        <v>1.0625</v>
      </c>
      <c r="H17" s="17">
        <v>0.72916666666666663</v>
      </c>
      <c r="I17" s="17">
        <v>1.0625</v>
      </c>
      <c r="J17" s="17">
        <v>0.70833333333333337</v>
      </c>
      <c r="K17" s="17">
        <v>1.0625</v>
      </c>
      <c r="L17" s="17">
        <v>0.70833333333333337</v>
      </c>
      <c r="M17" s="17">
        <v>1.0625</v>
      </c>
      <c r="N17" s="10"/>
      <c r="O17" s="10"/>
      <c r="P17" s="18">
        <f t="shared" si="8"/>
        <v>1.7499999999999996</v>
      </c>
      <c r="W17" s="5">
        <f t="shared" si="0"/>
        <v>0</v>
      </c>
      <c r="X17" s="5">
        <f t="shared" si="1"/>
        <v>0.35416666666666663</v>
      </c>
      <c r="Y17" s="5">
        <f t="shared" si="2"/>
        <v>0.35416666666666663</v>
      </c>
      <c r="Z17" s="5">
        <f t="shared" si="3"/>
        <v>0.33333333333333337</v>
      </c>
      <c r="AA17" s="5">
        <f t="shared" si="4"/>
        <v>0.35416666666666663</v>
      </c>
      <c r="AB17" s="5">
        <f t="shared" si="5"/>
        <v>0.35416666666666663</v>
      </c>
      <c r="AC17" s="5">
        <f t="shared" si="6"/>
        <v>0</v>
      </c>
    </row>
    <row r="18" spans="1:29" ht="15" thickBot="1" x14ac:dyDescent="0.35">
      <c r="A18" s="1" t="e" cm="1">
        <f t="array" ref="A18">+A18:PA18:P+A18:P363628A1:P2A1:P49</f>
        <v>#NAME?</v>
      </c>
      <c r="B18" s="67" t="s">
        <v>0</v>
      </c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8"/>
      <c r="W18" s="5" t="e">
        <f t="shared" si="0"/>
        <v>#VALUE!</v>
      </c>
      <c r="X18" s="5">
        <f t="shared" si="1"/>
        <v>0</v>
      </c>
      <c r="Y18" s="5">
        <f t="shared" si="2"/>
        <v>0</v>
      </c>
      <c r="Z18" s="5">
        <f t="shared" si="3"/>
        <v>0</v>
      </c>
      <c r="AA18" s="5">
        <f t="shared" si="4"/>
        <v>0</v>
      </c>
      <c r="AB18" s="5">
        <f t="shared" si="5"/>
        <v>0</v>
      </c>
      <c r="AC18" s="5">
        <f t="shared" si="6"/>
        <v>0</v>
      </c>
    </row>
    <row r="19" spans="1:29" ht="15" thickBot="1" x14ac:dyDescent="0.35">
      <c r="A19" s="2"/>
      <c r="B19" s="67" t="s">
        <v>29</v>
      </c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8"/>
    </row>
    <row r="20" spans="1:29" x14ac:dyDescent="0.3">
      <c r="A20" s="3"/>
      <c r="B20" s="74" t="s">
        <v>1</v>
      </c>
      <c r="C20" s="75"/>
      <c r="D20" s="74" t="s">
        <v>2</v>
      </c>
      <c r="E20" s="75"/>
      <c r="F20" s="74" t="s">
        <v>3</v>
      </c>
      <c r="G20" s="75"/>
      <c r="H20" s="74" t="s">
        <v>4</v>
      </c>
      <c r="I20" s="75"/>
      <c r="J20" s="74" t="s">
        <v>5</v>
      </c>
      <c r="K20" s="75"/>
      <c r="L20" s="74" t="s">
        <v>6</v>
      </c>
      <c r="M20" s="75"/>
      <c r="N20" s="74" t="s">
        <v>7</v>
      </c>
      <c r="O20" s="75"/>
      <c r="P20" s="4" t="s">
        <v>8</v>
      </c>
    </row>
    <row r="21" spans="1:29" x14ac:dyDescent="0.3">
      <c r="A21" s="6"/>
      <c r="B21" s="72">
        <v>46048</v>
      </c>
      <c r="C21" s="73"/>
      <c r="D21" s="72">
        <v>46049</v>
      </c>
      <c r="E21" s="73"/>
      <c r="F21" s="72">
        <v>46050</v>
      </c>
      <c r="G21" s="73"/>
      <c r="H21" s="72">
        <v>46051</v>
      </c>
      <c r="I21" s="73"/>
      <c r="J21" s="72">
        <v>46052</v>
      </c>
      <c r="K21" s="73"/>
      <c r="L21" s="72">
        <v>46053</v>
      </c>
      <c r="M21" s="73"/>
      <c r="N21" s="72">
        <v>46054</v>
      </c>
      <c r="O21" s="73"/>
      <c r="P21" s="7"/>
    </row>
    <row r="22" spans="1:29" x14ac:dyDescent="0.3">
      <c r="A22" s="8" t="s">
        <v>9</v>
      </c>
      <c r="B22" s="72"/>
      <c r="C22" s="73"/>
      <c r="D22" s="72"/>
      <c r="E22" s="73"/>
      <c r="F22" s="72"/>
      <c r="G22" s="73"/>
      <c r="H22" s="72"/>
      <c r="I22" s="73"/>
      <c r="J22" s="72"/>
      <c r="K22" s="73"/>
      <c r="L22" s="72"/>
      <c r="M22" s="73"/>
      <c r="N22" s="72"/>
      <c r="O22" s="73"/>
      <c r="P22" s="7"/>
    </row>
    <row r="23" spans="1:29" x14ac:dyDescent="0.3">
      <c r="A23" s="9" t="s">
        <v>10</v>
      </c>
      <c r="B23" s="10"/>
      <c r="C23" s="10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0"/>
      <c r="O23" s="10"/>
      <c r="P23" s="12"/>
    </row>
    <row r="24" spans="1:29" x14ac:dyDescent="0.3">
      <c r="A24" s="13" t="s">
        <v>11</v>
      </c>
      <c r="B24" s="14"/>
      <c r="C24" s="14"/>
      <c r="D24" s="10"/>
      <c r="E24" s="10"/>
      <c r="F24" s="10"/>
      <c r="G24" s="10"/>
      <c r="H24" s="21"/>
      <c r="I24" s="21"/>
      <c r="J24" s="14"/>
      <c r="K24" s="14"/>
      <c r="L24" s="14"/>
      <c r="M24" s="14"/>
      <c r="N24" s="14"/>
      <c r="O24" s="14"/>
      <c r="P24" s="12"/>
    </row>
    <row r="25" spans="1:29" x14ac:dyDescent="0.3">
      <c r="A25" s="13" t="s">
        <v>12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0"/>
      <c r="M25" s="10"/>
      <c r="N25" s="10"/>
      <c r="O25" s="10"/>
      <c r="P25" s="12"/>
    </row>
    <row r="26" spans="1:29" x14ac:dyDescent="0.3">
      <c r="A26" s="8" t="s">
        <v>28</v>
      </c>
      <c r="B26" s="14"/>
      <c r="C26" s="14"/>
      <c r="D26" s="14"/>
      <c r="E26" s="14"/>
      <c r="F26" s="14"/>
      <c r="G26" s="14"/>
      <c r="H26" s="10"/>
      <c r="I26" s="10"/>
      <c r="J26" s="10"/>
      <c r="K26" s="10"/>
      <c r="L26" s="14"/>
      <c r="M26" s="14"/>
      <c r="N26" s="14"/>
      <c r="O26" s="14"/>
      <c r="P26" s="12"/>
    </row>
    <row r="27" spans="1:29" x14ac:dyDescent="0.3">
      <c r="A27" s="8" t="s">
        <v>14</v>
      </c>
      <c r="B27" s="10"/>
      <c r="C27" s="10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0"/>
      <c r="O27" s="10"/>
      <c r="P27" s="12"/>
    </row>
    <row r="28" spans="1:29" x14ac:dyDescent="0.3">
      <c r="A28" s="15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</row>
    <row r="29" spans="1:29" x14ac:dyDescent="0.3">
      <c r="A29" s="9" t="s">
        <v>16</v>
      </c>
      <c r="B29" s="10"/>
      <c r="C29" s="10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0"/>
      <c r="O29" s="10"/>
      <c r="P29" s="18"/>
    </row>
    <row r="30" spans="1:29" x14ac:dyDescent="0.3">
      <c r="A30" s="9" t="s">
        <v>17</v>
      </c>
      <c r="B30" s="17"/>
      <c r="C30" s="17"/>
      <c r="D30" s="10"/>
      <c r="E30" s="10"/>
      <c r="F30" s="10"/>
      <c r="G30" s="10"/>
      <c r="H30" s="17"/>
      <c r="I30" s="17"/>
      <c r="J30" s="17"/>
      <c r="K30" s="17"/>
      <c r="L30" s="17"/>
      <c r="M30" s="17"/>
      <c r="N30" s="17"/>
      <c r="O30" s="17"/>
      <c r="P30" s="18"/>
    </row>
    <row r="31" spans="1:29" x14ac:dyDescent="0.3">
      <c r="A31" s="19" t="s">
        <v>18</v>
      </c>
      <c r="B31" s="17"/>
      <c r="C31" s="17"/>
      <c r="D31" s="17"/>
      <c r="E31" s="17"/>
      <c r="F31" s="17"/>
      <c r="G31" s="17"/>
      <c r="H31" s="20"/>
      <c r="I31" s="20"/>
      <c r="J31" s="20"/>
      <c r="K31" s="20"/>
      <c r="L31" s="17"/>
      <c r="M31" s="17"/>
      <c r="N31" s="17"/>
      <c r="O31" s="17"/>
      <c r="P31" s="18"/>
    </row>
    <row r="32" spans="1:29" x14ac:dyDescent="0.3">
      <c r="A32" s="8" t="s">
        <v>26</v>
      </c>
      <c r="B32" s="10"/>
      <c r="C32" s="10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0"/>
      <c r="O32" s="10"/>
      <c r="P32" s="18"/>
    </row>
    <row r="33" spans="1:16" x14ac:dyDescent="0.3">
      <c r="A33" s="8" t="s">
        <v>20</v>
      </c>
      <c r="B33" s="17"/>
      <c r="C33" s="17"/>
      <c r="D33" s="10"/>
      <c r="E33" s="10"/>
      <c r="F33" s="10"/>
      <c r="G33" s="10"/>
      <c r="H33" s="17"/>
      <c r="I33" s="17"/>
      <c r="J33" s="17"/>
      <c r="K33" s="17"/>
      <c r="L33" s="17"/>
      <c r="M33" s="17"/>
      <c r="N33" s="17"/>
      <c r="O33" s="17"/>
      <c r="P33" s="18"/>
    </row>
    <row r="34" spans="1:16" x14ac:dyDescent="0.3">
      <c r="A34" s="9" t="s">
        <v>21</v>
      </c>
      <c r="B34" s="20"/>
      <c r="C34" s="20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0"/>
      <c r="O34" s="10"/>
      <c r="P34" s="18"/>
    </row>
  </sheetData>
  <mergeCells count="46">
    <mergeCell ref="B1:P1"/>
    <mergeCell ref="B2:P2"/>
    <mergeCell ref="N3:O3"/>
    <mergeCell ref="B3:C3"/>
    <mergeCell ref="D3:E3"/>
    <mergeCell ref="F3:G3"/>
    <mergeCell ref="H3:I3"/>
    <mergeCell ref="J3:K3"/>
    <mergeCell ref="L3:M3"/>
    <mergeCell ref="L4:M4"/>
    <mergeCell ref="N4:O4"/>
    <mergeCell ref="B5:C5"/>
    <mergeCell ref="D5:E5"/>
    <mergeCell ref="F5:G5"/>
    <mergeCell ref="H5:I5"/>
    <mergeCell ref="J5:K5"/>
    <mergeCell ref="L5:M5"/>
    <mergeCell ref="N5:O5"/>
    <mergeCell ref="B4:C4"/>
    <mergeCell ref="D4:E4"/>
    <mergeCell ref="F4:G4"/>
    <mergeCell ref="H4:I4"/>
    <mergeCell ref="J4:K4"/>
    <mergeCell ref="B18:P18"/>
    <mergeCell ref="B19:P19"/>
    <mergeCell ref="B20:C20"/>
    <mergeCell ref="D20:E20"/>
    <mergeCell ref="F20:G20"/>
    <mergeCell ref="H20:I20"/>
    <mergeCell ref="J20:K20"/>
    <mergeCell ref="L20:M20"/>
    <mergeCell ref="N20:O20"/>
    <mergeCell ref="L21:M21"/>
    <mergeCell ref="N21:O21"/>
    <mergeCell ref="B22:C22"/>
    <mergeCell ref="D22:E22"/>
    <mergeCell ref="F22:G22"/>
    <mergeCell ref="H22:I22"/>
    <mergeCell ref="J22:K22"/>
    <mergeCell ref="L22:M22"/>
    <mergeCell ref="N22:O22"/>
    <mergeCell ref="B21:C21"/>
    <mergeCell ref="D21:E21"/>
    <mergeCell ref="F21:G21"/>
    <mergeCell ref="H21:I21"/>
    <mergeCell ref="J21:K21"/>
  </mergeCells>
  <pageMargins left="0.7" right="0.7" top="0.75" bottom="0.75" header="0.3" footer="0.3"/>
  <pageSetup paperSize="9" scale="3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51FE-E717-44E8-89D6-9886342FE217}">
  <sheetPr>
    <pageSetUpPr fitToPage="1"/>
  </sheetPr>
  <dimension ref="A1:AC36"/>
  <sheetViews>
    <sheetView workbookViewId="0">
      <selection activeCell="K8" sqref="K8"/>
    </sheetView>
  </sheetViews>
  <sheetFormatPr baseColWidth="10" defaultRowHeight="14.4" x14ac:dyDescent="0.3"/>
  <sheetData>
    <row r="1" spans="1:29" ht="15" thickBot="1" x14ac:dyDescent="0.35">
      <c r="A1" s="1"/>
      <c r="B1" s="67" t="s">
        <v>0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8"/>
    </row>
    <row r="2" spans="1:29" ht="15" thickBot="1" x14ac:dyDescent="0.35">
      <c r="A2" s="2"/>
      <c r="B2" s="67" t="s">
        <v>31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8"/>
    </row>
    <row r="3" spans="1:29" x14ac:dyDescent="0.3">
      <c r="A3" s="3"/>
      <c r="B3" s="74" t="s">
        <v>1</v>
      </c>
      <c r="C3" s="75"/>
      <c r="D3" s="74" t="s">
        <v>2</v>
      </c>
      <c r="E3" s="75"/>
      <c r="F3" s="74" t="s">
        <v>3</v>
      </c>
      <c r="G3" s="75"/>
      <c r="H3" s="74" t="s">
        <v>4</v>
      </c>
      <c r="I3" s="75"/>
      <c r="J3" s="74" t="s">
        <v>5</v>
      </c>
      <c r="K3" s="75"/>
      <c r="L3" s="74" t="s">
        <v>6</v>
      </c>
      <c r="M3" s="75"/>
      <c r="N3" s="74" t="s">
        <v>7</v>
      </c>
      <c r="O3" s="75"/>
      <c r="P3" s="4" t="s">
        <v>8</v>
      </c>
      <c r="W3" s="5" t="e">
        <f t="shared" ref="W3:W19" si="0">C3-B3</f>
        <v>#VALUE!</v>
      </c>
      <c r="X3" s="5" t="e">
        <f t="shared" ref="X3:X19" si="1">E3-D3</f>
        <v>#VALUE!</v>
      </c>
      <c r="Y3" s="5" t="e">
        <f t="shared" ref="Y3:Y19" si="2">G3-F3</f>
        <v>#VALUE!</v>
      </c>
      <c r="Z3" s="5" t="e">
        <f t="shared" ref="Z3:Z19" si="3">I3-H3</f>
        <v>#VALUE!</v>
      </c>
      <c r="AA3" s="5" t="e">
        <f t="shared" ref="AA3:AA19" si="4">K3-J3</f>
        <v>#VALUE!</v>
      </c>
      <c r="AB3" s="5" t="e">
        <f t="shared" ref="AB3:AB19" si="5">M3-L3</f>
        <v>#VALUE!</v>
      </c>
      <c r="AC3" s="5" t="e">
        <f t="shared" ref="AC3:AC19" si="6">O3-N3</f>
        <v>#VALUE!</v>
      </c>
    </row>
    <row r="4" spans="1:29" x14ac:dyDescent="0.3">
      <c r="A4" s="6"/>
      <c r="B4" s="72">
        <v>46055</v>
      </c>
      <c r="C4" s="73"/>
      <c r="D4" s="72">
        <v>46056</v>
      </c>
      <c r="E4" s="73"/>
      <c r="F4" s="72">
        <v>46057</v>
      </c>
      <c r="G4" s="73"/>
      <c r="H4" s="72">
        <v>46058</v>
      </c>
      <c r="I4" s="73"/>
      <c r="J4" s="72">
        <v>46059</v>
      </c>
      <c r="K4" s="73"/>
      <c r="L4" s="72">
        <v>46060</v>
      </c>
      <c r="M4" s="73"/>
      <c r="N4" s="72">
        <v>46061</v>
      </c>
      <c r="O4" s="73"/>
      <c r="P4" s="7"/>
      <c r="W4" s="5">
        <f t="shared" si="0"/>
        <v>-46055</v>
      </c>
      <c r="X4" s="5">
        <f t="shared" si="1"/>
        <v>-46056</v>
      </c>
      <c r="Y4" s="5">
        <f t="shared" si="2"/>
        <v>-46057</v>
      </c>
      <c r="Z4" s="5">
        <f t="shared" si="3"/>
        <v>-46058</v>
      </c>
      <c r="AA4" s="5">
        <f t="shared" si="4"/>
        <v>-46059</v>
      </c>
      <c r="AB4" s="5">
        <f t="shared" si="5"/>
        <v>-46060</v>
      </c>
      <c r="AC4" s="5">
        <f t="shared" si="6"/>
        <v>-46061</v>
      </c>
    </row>
    <row r="5" spans="1:29" x14ac:dyDescent="0.3">
      <c r="A5" s="8" t="s">
        <v>9</v>
      </c>
      <c r="B5" s="72"/>
      <c r="C5" s="73"/>
      <c r="D5" s="72"/>
      <c r="E5" s="73"/>
      <c r="F5" s="72"/>
      <c r="G5" s="73"/>
      <c r="H5" s="72"/>
      <c r="I5" s="73"/>
      <c r="J5" s="72"/>
      <c r="K5" s="73"/>
      <c r="L5" s="72"/>
      <c r="M5" s="73"/>
      <c r="N5" s="72"/>
      <c r="O5" s="73"/>
      <c r="P5" s="7"/>
      <c r="W5" s="5">
        <f t="shared" si="0"/>
        <v>0</v>
      </c>
      <c r="X5" s="5">
        <f t="shared" si="1"/>
        <v>0</v>
      </c>
      <c r="Y5" s="5">
        <f t="shared" si="2"/>
        <v>0</v>
      </c>
      <c r="Z5" s="5">
        <f t="shared" si="3"/>
        <v>0</v>
      </c>
      <c r="AA5" s="5">
        <f t="shared" si="4"/>
        <v>0</v>
      </c>
      <c r="AB5" s="5">
        <f t="shared" si="5"/>
        <v>0</v>
      </c>
      <c r="AC5" s="5">
        <f t="shared" si="6"/>
        <v>0</v>
      </c>
    </row>
    <row r="6" spans="1:29" x14ac:dyDescent="0.3">
      <c r="A6" s="9" t="s">
        <v>10</v>
      </c>
      <c r="B6" s="10"/>
      <c r="C6" s="10"/>
      <c r="D6" s="11">
        <v>0.39583333333333331</v>
      </c>
      <c r="E6" s="11">
        <v>0.72916666666666663</v>
      </c>
      <c r="F6" s="11">
        <v>0.375</v>
      </c>
      <c r="G6" s="11">
        <v>0.72916666666666663</v>
      </c>
      <c r="H6" s="11">
        <v>0.41666666666666669</v>
      </c>
      <c r="I6" s="11">
        <v>0.72916666666666663</v>
      </c>
      <c r="J6" s="11">
        <v>0.375</v>
      </c>
      <c r="K6" s="11">
        <v>0.70833333333333337</v>
      </c>
      <c r="L6" s="11">
        <v>0.41666666666666669</v>
      </c>
      <c r="M6" s="11">
        <v>0.70833333333333337</v>
      </c>
      <c r="N6" s="10"/>
      <c r="O6" s="10"/>
      <c r="P6" s="12">
        <f>W6+X6+Y6+Z6+AA6+AB6+AC6</f>
        <v>1.6250000000000002</v>
      </c>
      <c r="W6" s="5">
        <f t="shared" si="0"/>
        <v>0</v>
      </c>
      <c r="X6" s="5">
        <f t="shared" si="1"/>
        <v>0.33333333333333331</v>
      </c>
      <c r="Y6" s="5">
        <f t="shared" si="2"/>
        <v>0.35416666666666663</v>
      </c>
      <c r="Z6" s="5">
        <f t="shared" si="3"/>
        <v>0.31249999999999994</v>
      </c>
      <c r="AA6" s="5">
        <f t="shared" si="4"/>
        <v>0.33333333333333337</v>
      </c>
      <c r="AB6" s="5">
        <f t="shared" si="5"/>
        <v>0.29166666666666669</v>
      </c>
      <c r="AC6" s="5">
        <f t="shared" si="6"/>
        <v>0</v>
      </c>
    </row>
    <row r="7" spans="1:29" hidden="1" x14ac:dyDescent="0.3">
      <c r="A7" s="13" t="s">
        <v>11</v>
      </c>
      <c r="B7" s="14">
        <v>0.39583333333333331</v>
      </c>
      <c r="C7" s="14">
        <v>0.72916666666666663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2">
        <f>W7+X7+Y7+Z7+AA7+AB7+AC7</f>
        <v>0.33333333333333331</v>
      </c>
      <c r="W7" s="5">
        <f t="shared" si="0"/>
        <v>0.33333333333333331</v>
      </c>
      <c r="X7" s="5">
        <f t="shared" si="1"/>
        <v>0</v>
      </c>
      <c r="Y7" s="5">
        <f t="shared" si="2"/>
        <v>0</v>
      </c>
      <c r="Z7" s="5">
        <f t="shared" si="3"/>
        <v>0</v>
      </c>
      <c r="AA7" s="5">
        <f t="shared" si="4"/>
        <v>0</v>
      </c>
      <c r="AB7" s="5">
        <f t="shared" si="5"/>
        <v>0</v>
      </c>
      <c r="AC7" s="5">
        <f t="shared" si="6"/>
        <v>0</v>
      </c>
    </row>
    <row r="8" spans="1:29" x14ac:dyDescent="0.3">
      <c r="A8" s="13" t="s">
        <v>12</v>
      </c>
      <c r="B8" s="11">
        <v>0.41666666666666669</v>
      </c>
      <c r="C8" s="11">
        <v>0.70833333333333337</v>
      </c>
      <c r="D8" s="11">
        <v>0.41666666666666669</v>
      </c>
      <c r="E8" s="11">
        <v>0.70833333333333337</v>
      </c>
      <c r="F8" s="11">
        <v>0.41666666666666669</v>
      </c>
      <c r="G8" s="11">
        <v>0.70833333333333337</v>
      </c>
      <c r="H8" s="11">
        <v>0.41666666666666669</v>
      </c>
      <c r="I8" s="11">
        <v>0.70833333333333337</v>
      </c>
      <c r="J8" s="11">
        <v>0.41666666666666669</v>
      </c>
      <c r="K8" s="11">
        <v>0.70833333333333337</v>
      </c>
      <c r="L8" s="10"/>
      <c r="M8" s="10"/>
      <c r="N8" s="10"/>
      <c r="O8" s="10"/>
      <c r="P8" s="12">
        <f>W8+X8+Y8+Z8+AA8+AB8+AC8</f>
        <v>1.4583333333333335</v>
      </c>
      <c r="W8" s="5">
        <f t="shared" si="0"/>
        <v>0.29166666666666669</v>
      </c>
      <c r="X8" s="5">
        <f t="shared" si="1"/>
        <v>0.29166666666666669</v>
      </c>
      <c r="Y8" s="5">
        <f t="shared" si="2"/>
        <v>0.29166666666666669</v>
      </c>
      <c r="Z8" s="5">
        <f t="shared" si="3"/>
        <v>0.29166666666666669</v>
      </c>
      <c r="AA8" s="5">
        <f t="shared" si="4"/>
        <v>0.29166666666666669</v>
      </c>
      <c r="AB8" s="5">
        <f t="shared" si="5"/>
        <v>0</v>
      </c>
      <c r="AC8" s="5">
        <f t="shared" si="6"/>
        <v>0</v>
      </c>
    </row>
    <row r="9" spans="1:29" x14ac:dyDescent="0.3">
      <c r="A9" s="8" t="s">
        <v>28</v>
      </c>
      <c r="B9" s="14">
        <v>0.39583333333333331</v>
      </c>
      <c r="C9" s="14">
        <v>0.72916666666666663</v>
      </c>
      <c r="D9" s="14">
        <v>0.39583333333333331</v>
      </c>
      <c r="E9" s="14">
        <v>0.72916666666666663</v>
      </c>
      <c r="F9" s="14">
        <v>0.375</v>
      </c>
      <c r="G9" s="14">
        <v>0.70833333333333337</v>
      </c>
      <c r="H9" s="10"/>
      <c r="I9" s="10"/>
      <c r="J9" s="10"/>
      <c r="K9" s="10"/>
      <c r="L9" s="14">
        <v>0.39583333333333331</v>
      </c>
      <c r="M9" s="14">
        <v>0.70833333333333337</v>
      </c>
      <c r="N9" s="14">
        <v>0.39583333333333331</v>
      </c>
      <c r="O9" s="14">
        <v>0.70833333333333337</v>
      </c>
      <c r="P9" s="12">
        <f t="shared" ref="P9:P11" si="7">W9+X9+Y9+Z9+AA9+AB9+AC9</f>
        <v>1.625</v>
      </c>
      <c r="W9" s="5">
        <f t="shared" si="0"/>
        <v>0.33333333333333331</v>
      </c>
      <c r="X9" s="5">
        <f t="shared" si="1"/>
        <v>0.33333333333333331</v>
      </c>
      <c r="Y9" s="5">
        <f t="shared" si="2"/>
        <v>0.33333333333333337</v>
      </c>
      <c r="Z9" s="5">
        <f t="shared" si="3"/>
        <v>0</v>
      </c>
      <c r="AA9" s="5">
        <f t="shared" si="4"/>
        <v>0</v>
      </c>
      <c r="AB9" s="5">
        <f t="shared" si="5"/>
        <v>0.31250000000000006</v>
      </c>
      <c r="AC9" s="5">
        <f t="shared" si="6"/>
        <v>0.31250000000000006</v>
      </c>
    </row>
    <row r="10" spans="1:29" x14ac:dyDescent="0.3">
      <c r="A10" s="8" t="s">
        <v>30</v>
      </c>
      <c r="B10" s="10"/>
      <c r="C10" s="10"/>
      <c r="D10" s="14">
        <v>0.39583333333333331</v>
      </c>
      <c r="E10" s="14">
        <v>0.72916666666666663</v>
      </c>
      <c r="F10" s="14">
        <v>0.375</v>
      </c>
      <c r="G10" s="14">
        <v>0.72916666666666663</v>
      </c>
      <c r="H10" s="14">
        <v>0.41666666666666669</v>
      </c>
      <c r="I10" s="14">
        <v>0.72916666666666663</v>
      </c>
      <c r="J10" s="14">
        <v>0.375</v>
      </c>
      <c r="K10" s="14">
        <v>0.70833333333333337</v>
      </c>
      <c r="L10" s="14">
        <v>0.41666666666666669</v>
      </c>
      <c r="M10" s="14">
        <v>0.70833333333333337</v>
      </c>
      <c r="N10" s="10"/>
      <c r="O10" s="10"/>
      <c r="P10" s="12">
        <f t="shared" si="7"/>
        <v>1.6250000000000002</v>
      </c>
      <c r="W10" s="5">
        <f t="shared" ref="W10" si="8">C10-B10</f>
        <v>0</v>
      </c>
      <c r="X10" s="5">
        <f t="shared" ref="X10" si="9">E10-D10</f>
        <v>0.33333333333333331</v>
      </c>
      <c r="Y10" s="5">
        <f t="shared" ref="Y10" si="10">G10-F10</f>
        <v>0.35416666666666663</v>
      </c>
      <c r="Z10" s="5">
        <f t="shared" ref="Z10" si="11">I10-H10</f>
        <v>0.31249999999999994</v>
      </c>
      <c r="AA10" s="5">
        <f t="shared" ref="AA10" si="12">K10-J10</f>
        <v>0.33333333333333337</v>
      </c>
      <c r="AB10" s="5">
        <f t="shared" ref="AB10" si="13">M10-L10</f>
        <v>0.29166666666666669</v>
      </c>
      <c r="AC10" s="5">
        <f t="shared" ref="AC10" si="14">O10-N10</f>
        <v>0</v>
      </c>
    </row>
    <row r="11" spans="1:29" x14ac:dyDescent="0.3">
      <c r="A11" s="8" t="s">
        <v>14</v>
      </c>
      <c r="B11" s="10"/>
      <c r="C11" s="10"/>
      <c r="D11" s="10"/>
      <c r="E11" s="10"/>
      <c r="F11" s="10"/>
      <c r="G11" s="10"/>
      <c r="H11" s="14">
        <v>0.39583333333333331</v>
      </c>
      <c r="I11" s="14">
        <v>0.70833333333333337</v>
      </c>
      <c r="J11" s="14">
        <v>0.375</v>
      </c>
      <c r="K11" s="14">
        <v>0.70833333333333337</v>
      </c>
      <c r="L11" s="14">
        <v>0.41666666666666669</v>
      </c>
      <c r="M11" s="14">
        <v>0.70833333333333337</v>
      </c>
      <c r="N11" s="14">
        <v>0.39583333333333331</v>
      </c>
      <c r="O11" s="14">
        <v>0.70833333333333337</v>
      </c>
      <c r="P11" s="12">
        <f t="shared" si="7"/>
        <v>1.2500000000000002</v>
      </c>
      <c r="W11" s="5">
        <f t="shared" si="0"/>
        <v>0</v>
      </c>
      <c r="X11" s="5">
        <f t="shared" si="1"/>
        <v>0</v>
      </c>
      <c r="Y11" s="5">
        <f t="shared" si="2"/>
        <v>0</v>
      </c>
      <c r="Z11" s="5">
        <f t="shared" si="3"/>
        <v>0.31250000000000006</v>
      </c>
      <c r="AA11" s="5">
        <f t="shared" si="4"/>
        <v>0.33333333333333337</v>
      </c>
      <c r="AB11" s="5">
        <f t="shared" si="5"/>
        <v>0.29166666666666669</v>
      </c>
      <c r="AC11" s="5">
        <f t="shared" si="6"/>
        <v>0.31250000000000006</v>
      </c>
    </row>
    <row r="12" spans="1:29" x14ac:dyDescent="0.3">
      <c r="A12" s="15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W12" s="5">
        <f t="shared" si="0"/>
        <v>0</v>
      </c>
      <c r="X12" s="5">
        <f t="shared" si="1"/>
        <v>0</v>
      </c>
      <c r="Y12" s="5">
        <f t="shared" si="2"/>
        <v>0</v>
      </c>
      <c r="Z12" s="5">
        <f t="shared" si="3"/>
        <v>0</v>
      </c>
      <c r="AA12" s="5">
        <f t="shared" si="4"/>
        <v>0</v>
      </c>
      <c r="AB12" s="5">
        <f t="shared" si="5"/>
        <v>0</v>
      </c>
      <c r="AC12" s="5">
        <f t="shared" si="6"/>
        <v>0</v>
      </c>
    </row>
    <row r="13" spans="1:29" x14ac:dyDescent="0.3">
      <c r="A13" s="9" t="s">
        <v>16</v>
      </c>
      <c r="B13" s="10"/>
      <c r="C13" s="10"/>
      <c r="D13" s="17">
        <v>0.70833333333333337</v>
      </c>
      <c r="E13" s="17">
        <v>1.0625</v>
      </c>
      <c r="F13" s="17">
        <v>0.72916666666666663</v>
      </c>
      <c r="G13" s="17">
        <v>1.0625</v>
      </c>
      <c r="H13" s="17">
        <v>0.70833333333333304</v>
      </c>
      <c r="I13" s="17">
        <v>1.0625</v>
      </c>
      <c r="J13" s="17">
        <v>0.70833333333333304</v>
      </c>
      <c r="K13" s="17">
        <v>1.0625</v>
      </c>
      <c r="L13" s="17">
        <v>0.70833333333333304</v>
      </c>
      <c r="M13" s="17">
        <v>1.0625</v>
      </c>
      <c r="N13" s="10"/>
      <c r="O13" s="10"/>
      <c r="P13" s="18">
        <f t="shared" ref="P13:P18" si="15">W13+X13+Y13+Z13+AA13+AB13+AC13</f>
        <v>1.7500000000000009</v>
      </c>
      <c r="W13" s="5">
        <f t="shared" si="0"/>
        <v>0</v>
      </c>
      <c r="X13" s="5">
        <f t="shared" si="1"/>
        <v>0.35416666666666663</v>
      </c>
      <c r="Y13" s="5">
        <f t="shared" si="2"/>
        <v>0.33333333333333337</v>
      </c>
      <c r="Z13" s="5">
        <f t="shared" si="3"/>
        <v>0.35416666666666696</v>
      </c>
      <c r="AA13" s="5">
        <f t="shared" si="4"/>
        <v>0.35416666666666696</v>
      </c>
      <c r="AB13" s="5">
        <f t="shared" si="5"/>
        <v>0.35416666666666696</v>
      </c>
      <c r="AC13" s="5">
        <f t="shared" si="6"/>
        <v>0</v>
      </c>
    </row>
    <row r="14" spans="1:29" x14ac:dyDescent="0.3">
      <c r="A14" s="9" t="s">
        <v>17</v>
      </c>
      <c r="B14" s="17">
        <v>0.70833333333333337</v>
      </c>
      <c r="C14" s="17">
        <v>1.0208333333333299</v>
      </c>
      <c r="D14" s="10"/>
      <c r="E14" s="10"/>
      <c r="F14" s="10"/>
      <c r="G14" s="10"/>
      <c r="H14" s="17">
        <v>0.6875</v>
      </c>
      <c r="I14" s="17">
        <v>1.0625</v>
      </c>
      <c r="J14" s="17">
        <v>0.70833333333333304</v>
      </c>
      <c r="K14" s="17">
        <v>1.0625</v>
      </c>
      <c r="L14" s="17">
        <v>0.6875</v>
      </c>
      <c r="M14" s="17">
        <v>1.0625</v>
      </c>
      <c r="N14" s="17">
        <v>0.6875</v>
      </c>
      <c r="O14" s="17">
        <v>1.0208333333333299</v>
      </c>
      <c r="P14" s="18">
        <f t="shared" si="15"/>
        <v>1.7499999999999933</v>
      </c>
      <c r="W14" s="5">
        <f t="shared" si="0"/>
        <v>0.31249999999999656</v>
      </c>
      <c r="X14" s="5">
        <f t="shared" si="1"/>
        <v>0</v>
      </c>
      <c r="Y14" s="5">
        <f t="shared" si="2"/>
        <v>0</v>
      </c>
      <c r="Z14" s="5">
        <f t="shared" si="3"/>
        <v>0.375</v>
      </c>
      <c r="AA14" s="5">
        <f t="shared" si="4"/>
        <v>0.35416666666666696</v>
      </c>
      <c r="AB14" s="5">
        <f t="shared" si="5"/>
        <v>0.375</v>
      </c>
      <c r="AC14" s="5">
        <f t="shared" si="6"/>
        <v>0.33333333333332993</v>
      </c>
    </row>
    <row r="15" spans="1:29" x14ac:dyDescent="0.3">
      <c r="A15" s="19" t="s">
        <v>18</v>
      </c>
      <c r="B15" s="17">
        <v>0.72916666666666663</v>
      </c>
      <c r="C15" s="17">
        <v>1.0208333333333299</v>
      </c>
      <c r="D15" s="17">
        <v>0.70833333333333337</v>
      </c>
      <c r="E15" s="17">
        <v>1.0625</v>
      </c>
      <c r="F15" s="17">
        <v>0.75</v>
      </c>
      <c r="G15" s="17">
        <v>1.0625</v>
      </c>
      <c r="H15" s="20"/>
      <c r="I15" s="20"/>
      <c r="J15" s="20"/>
      <c r="K15" s="20"/>
      <c r="L15" s="17">
        <v>0.70833333333333337</v>
      </c>
      <c r="M15" s="17">
        <v>1.0625</v>
      </c>
      <c r="N15" s="17">
        <v>0.70833333333333337</v>
      </c>
      <c r="O15" s="17">
        <v>1.0208333333333299</v>
      </c>
      <c r="P15" s="18">
        <f t="shared" si="15"/>
        <v>1.6249999999999929</v>
      </c>
      <c r="W15" s="5">
        <f t="shared" si="0"/>
        <v>0.2916666666666633</v>
      </c>
      <c r="X15" s="5">
        <f t="shared" si="1"/>
        <v>0.35416666666666663</v>
      </c>
      <c r="Y15" s="5">
        <f t="shared" si="2"/>
        <v>0.3125</v>
      </c>
      <c r="Z15" s="5">
        <f t="shared" si="3"/>
        <v>0</v>
      </c>
      <c r="AA15" s="5">
        <f t="shared" si="4"/>
        <v>0</v>
      </c>
      <c r="AB15" s="5">
        <f t="shared" si="5"/>
        <v>0.35416666666666663</v>
      </c>
      <c r="AC15" s="5">
        <f t="shared" si="6"/>
        <v>0.31249999999999656</v>
      </c>
    </row>
    <row r="16" spans="1:29" x14ac:dyDescent="0.3">
      <c r="A16" s="8" t="s">
        <v>26</v>
      </c>
      <c r="B16" s="10"/>
      <c r="C16" s="10"/>
      <c r="D16" s="17">
        <v>0.75</v>
      </c>
      <c r="E16" s="17">
        <v>1.0625</v>
      </c>
      <c r="F16" s="17">
        <v>0.75</v>
      </c>
      <c r="G16" s="17">
        <v>1.0625</v>
      </c>
      <c r="H16" s="17">
        <v>0.75</v>
      </c>
      <c r="I16" s="17">
        <v>1.0625</v>
      </c>
      <c r="J16" s="17">
        <v>0.72916666666666663</v>
      </c>
      <c r="K16" s="17">
        <v>1.0625</v>
      </c>
      <c r="L16" s="17">
        <v>0.70833333333333337</v>
      </c>
      <c r="M16" s="17">
        <v>1.0625</v>
      </c>
      <c r="N16" s="10"/>
      <c r="O16" s="10"/>
      <c r="P16" s="18">
        <f t="shared" si="15"/>
        <v>1.625</v>
      </c>
      <c r="W16" s="5">
        <f t="shared" si="0"/>
        <v>0</v>
      </c>
      <c r="X16" s="5">
        <f t="shared" si="1"/>
        <v>0.3125</v>
      </c>
      <c r="Y16" s="5">
        <f t="shared" si="2"/>
        <v>0.3125</v>
      </c>
      <c r="Z16" s="5">
        <f t="shared" si="3"/>
        <v>0.3125</v>
      </c>
      <c r="AA16" s="5">
        <f t="shared" si="4"/>
        <v>0.33333333333333337</v>
      </c>
      <c r="AB16" s="5">
        <f t="shared" si="5"/>
        <v>0.35416666666666663</v>
      </c>
      <c r="AC16" s="5">
        <f t="shared" si="6"/>
        <v>0</v>
      </c>
    </row>
    <row r="17" spans="1:29" x14ac:dyDescent="0.3">
      <c r="A17" s="8" t="s">
        <v>20</v>
      </c>
      <c r="B17" s="10"/>
      <c r="C17" s="10"/>
      <c r="D17" s="10"/>
      <c r="E17" s="10"/>
      <c r="F17" s="10"/>
      <c r="G17" s="10"/>
      <c r="H17" s="17">
        <v>0.75</v>
      </c>
      <c r="I17" s="17">
        <v>1.0625</v>
      </c>
      <c r="J17" s="17">
        <v>0.75</v>
      </c>
      <c r="K17" s="17">
        <v>1.0625</v>
      </c>
      <c r="L17" s="17">
        <v>0.70833333333333337</v>
      </c>
      <c r="M17" s="17">
        <v>1.0625</v>
      </c>
      <c r="N17" s="17">
        <v>0.70833333333333337</v>
      </c>
      <c r="O17" s="17">
        <v>1.0208333333333299</v>
      </c>
      <c r="P17" s="18">
        <f t="shared" si="15"/>
        <v>1.2916666666666632</v>
      </c>
      <c r="W17" s="5">
        <f t="shared" si="0"/>
        <v>0</v>
      </c>
      <c r="X17" s="5">
        <f t="shared" si="1"/>
        <v>0</v>
      </c>
      <c r="Y17" s="5">
        <f t="shared" si="2"/>
        <v>0</v>
      </c>
      <c r="Z17" s="5">
        <f t="shared" si="3"/>
        <v>0.3125</v>
      </c>
      <c r="AA17" s="5">
        <f t="shared" si="4"/>
        <v>0.3125</v>
      </c>
      <c r="AB17" s="5">
        <f t="shared" si="5"/>
        <v>0.35416666666666663</v>
      </c>
      <c r="AC17" s="5">
        <f t="shared" si="6"/>
        <v>0.31249999999999656</v>
      </c>
    </row>
    <row r="18" spans="1:29" ht="15" thickBot="1" x14ac:dyDescent="0.35">
      <c r="A18" s="9" t="s">
        <v>21</v>
      </c>
      <c r="B18" s="20"/>
      <c r="C18" s="20"/>
      <c r="D18" s="17">
        <v>0.70833333333333337</v>
      </c>
      <c r="E18" s="17">
        <v>1.0625</v>
      </c>
      <c r="F18" s="17">
        <v>0.70833333333333337</v>
      </c>
      <c r="G18" s="17">
        <v>1.0625</v>
      </c>
      <c r="H18" s="17">
        <v>0.72916666666666663</v>
      </c>
      <c r="I18" s="17">
        <v>1.0625</v>
      </c>
      <c r="J18" s="17">
        <v>0.70833333333333337</v>
      </c>
      <c r="K18" s="17">
        <v>1.0625</v>
      </c>
      <c r="L18" s="17">
        <v>0.70833333333333337</v>
      </c>
      <c r="M18" s="17">
        <v>1.0625</v>
      </c>
      <c r="N18" s="10"/>
      <c r="O18" s="10"/>
      <c r="P18" s="18">
        <f t="shared" si="15"/>
        <v>1.7499999999999996</v>
      </c>
      <c r="W18" s="5">
        <f t="shared" si="0"/>
        <v>0</v>
      </c>
      <c r="X18" s="5">
        <f t="shared" si="1"/>
        <v>0.35416666666666663</v>
      </c>
      <c r="Y18" s="5">
        <f t="shared" si="2"/>
        <v>0.35416666666666663</v>
      </c>
      <c r="Z18" s="5">
        <f t="shared" si="3"/>
        <v>0.33333333333333337</v>
      </c>
      <c r="AA18" s="5">
        <f t="shared" si="4"/>
        <v>0.35416666666666663</v>
      </c>
      <c r="AB18" s="5">
        <f t="shared" si="5"/>
        <v>0.35416666666666663</v>
      </c>
      <c r="AC18" s="5">
        <f t="shared" si="6"/>
        <v>0</v>
      </c>
    </row>
    <row r="19" spans="1:29" ht="15" thickBot="1" x14ac:dyDescent="0.35">
      <c r="A19" s="1" t="e" cm="1">
        <f t="array" ref="A19">+A19:PA19:P+A19:P363628A1:P2A1:P50</f>
        <v>#NAME?</v>
      </c>
      <c r="B19" s="67" t="s">
        <v>0</v>
      </c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8"/>
      <c r="W19" s="5" t="e">
        <f t="shared" si="0"/>
        <v>#VALUE!</v>
      </c>
      <c r="X19" s="5">
        <f t="shared" si="1"/>
        <v>0</v>
      </c>
      <c r="Y19" s="5">
        <f t="shared" si="2"/>
        <v>0</v>
      </c>
      <c r="Z19" s="5">
        <f t="shared" si="3"/>
        <v>0</v>
      </c>
      <c r="AA19" s="5">
        <f t="shared" si="4"/>
        <v>0</v>
      </c>
      <c r="AB19" s="5">
        <f t="shared" si="5"/>
        <v>0</v>
      </c>
      <c r="AC19" s="5">
        <f t="shared" si="6"/>
        <v>0</v>
      </c>
    </row>
    <row r="20" spans="1:29" ht="15" thickBot="1" x14ac:dyDescent="0.35">
      <c r="A20" s="2"/>
      <c r="B20" s="67" t="s">
        <v>31</v>
      </c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8"/>
    </row>
    <row r="21" spans="1:29" x14ac:dyDescent="0.3">
      <c r="A21" s="3"/>
      <c r="B21" s="74" t="s">
        <v>1</v>
      </c>
      <c r="C21" s="75"/>
      <c r="D21" s="74" t="s">
        <v>2</v>
      </c>
      <c r="E21" s="75"/>
      <c r="F21" s="74" t="s">
        <v>3</v>
      </c>
      <c r="G21" s="75"/>
      <c r="H21" s="74" t="s">
        <v>4</v>
      </c>
      <c r="I21" s="75"/>
      <c r="J21" s="74" t="s">
        <v>5</v>
      </c>
      <c r="K21" s="75"/>
      <c r="L21" s="74" t="s">
        <v>6</v>
      </c>
      <c r="M21" s="75"/>
      <c r="N21" s="74" t="s">
        <v>7</v>
      </c>
      <c r="O21" s="75"/>
      <c r="P21" s="4" t="s">
        <v>8</v>
      </c>
    </row>
    <row r="22" spans="1:29" x14ac:dyDescent="0.3">
      <c r="A22" s="6"/>
      <c r="B22" s="72">
        <v>46048</v>
      </c>
      <c r="C22" s="73"/>
      <c r="D22" s="72">
        <v>46049</v>
      </c>
      <c r="E22" s="73"/>
      <c r="F22" s="72">
        <v>46050</v>
      </c>
      <c r="G22" s="73"/>
      <c r="H22" s="72">
        <v>46051</v>
      </c>
      <c r="I22" s="73"/>
      <c r="J22" s="72">
        <v>46052</v>
      </c>
      <c r="K22" s="73"/>
      <c r="L22" s="72">
        <v>46053</v>
      </c>
      <c r="M22" s="73"/>
      <c r="N22" s="72">
        <v>46054</v>
      </c>
      <c r="O22" s="73"/>
      <c r="P22" s="7"/>
    </row>
    <row r="23" spans="1:29" x14ac:dyDescent="0.3">
      <c r="A23" s="8" t="s">
        <v>9</v>
      </c>
      <c r="B23" s="72"/>
      <c r="C23" s="73"/>
      <c r="D23" s="72"/>
      <c r="E23" s="73"/>
      <c r="F23" s="72"/>
      <c r="G23" s="73"/>
      <c r="H23" s="72"/>
      <c r="I23" s="73"/>
      <c r="J23" s="72"/>
      <c r="K23" s="73"/>
      <c r="L23" s="72"/>
      <c r="M23" s="73"/>
      <c r="N23" s="72"/>
      <c r="O23" s="73"/>
      <c r="P23" s="7"/>
    </row>
    <row r="24" spans="1:29" x14ac:dyDescent="0.3">
      <c r="A24" s="9" t="s">
        <v>10</v>
      </c>
      <c r="B24" s="10"/>
      <c r="C24" s="10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0"/>
      <c r="O24" s="10"/>
      <c r="P24" s="12"/>
    </row>
    <row r="25" spans="1:29" x14ac:dyDescent="0.3">
      <c r="A25" s="13" t="s">
        <v>11</v>
      </c>
      <c r="B25" s="14"/>
      <c r="C25" s="14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2"/>
    </row>
    <row r="26" spans="1:29" x14ac:dyDescent="0.3">
      <c r="A26" s="13" t="s">
        <v>12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0"/>
      <c r="M26" s="10"/>
      <c r="N26" s="10"/>
      <c r="O26" s="10"/>
      <c r="P26" s="12"/>
    </row>
    <row r="27" spans="1:29" x14ac:dyDescent="0.3">
      <c r="A27" s="8" t="s">
        <v>28</v>
      </c>
      <c r="B27" s="14"/>
      <c r="C27" s="14"/>
      <c r="D27" s="14"/>
      <c r="E27" s="14"/>
      <c r="F27" s="14"/>
      <c r="G27" s="14"/>
      <c r="H27" s="10"/>
      <c r="I27" s="10"/>
      <c r="J27" s="10"/>
      <c r="K27" s="10"/>
      <c r="L27" s="14"/>
      <c r="M27" s="14"/>
      <c r="N27" s="14"/>
      <c r="O27" s="14"/>
      <c r="P27" s="12"/>
    </row>
    <row r="28" spans="1:29" x14ac:dyDescent="0.3">
      <c r="A28" s="8" t="s">
        <v>30</v>
      </c>
      <c r="B28" s="10"/>
      <c r="C28" s="10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0"/>
      <c r="O28" s="10"/>
      <c r="P28" s="12"/>
    </row>
    <row r="29" spans="1:29" x14ac:dyDescent="0.3">
      <c r="A29" s="8" t="s">
        <v>14</v>
      </c>
      <c r="B29" s="10"/>
      <c r="C29" s="10"/>
      <c r="D29" s="10"/>
      <c r="E29" s="10"/>
      <c r="F29" s="10"/>
      <c r="G29" s="10"/>
      <c r="H29" s="14"/>
      <c r="I29" s="14"/>
      <c r="J29" s="14"/>
      <c r="K29" s="14"/>
      <c r="L29" s="14"/>
      <c r="M29" s="14"/>
      <c r="N29" s="14"/>
      <c r="O29" s="14"/>
      <c r="P29" s="12"/>
    </row>
    <row r="30" spans="1:29" x14ac:dyDescent="0.3">
      <c r="A30" s="15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</row>
    <row r="31" spans="1:29" x14ac:dyDescent="0.3">
      <c r="A31" s="9" t="s">
        <v>16</v>
      </c>
      <c r="B31" s="10"/>
      <c r="C31" s="10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0"/>
      <c r="O31" s="10"/>
      <c r="P31" s="18"/>
    </row>
    <row r="32" spans="1:29" x14ac:dyDescent="0.3">
      <c r="A32" s="9" t="s">
        <v>17</v>
      </c>
      <c r="B32" s="17"/>
      <c r="C32" s="17"/>
      <c r="D32" s="10"/>
      <c r="E32" s="10"/>
      <c r="F32" s="10"/>
      <c r="G32" s="10"/>
      <c r="H32" s="17"/>
      <c r="I32" s="17"/>
      <c r="J32" s="17"/>
      <c r="K32" s="17"/>
      <c r="L32" s="17"/>
      <c r="M32" s="17"/>
      <c r="N32" s="17"/>
      <c r="O32" s="17"/>
      <c r="P32" s="18"/>
    </row>
    <row r="33" spans="1:16" x14ac:dyDescent="0.3">
      <c r="A33" s="19" t="s">
        <v>18</v>
      </c>
      <c r="B33" s="17"/>
      <c r="C33" s="17"/>
      <c r="D33" s="17"/>
      <c r="E33" s="17"/>
      <c r="F33" s="17"/>
      <c r="G33" s="17"/>
      <c r="H33" s="20"/>
      <c r="I33" s="20"/>
      <c r="J33" s="20"/>
      <c r="K33" s="20"/>
      <c r="L33" s="17"/>
      <c r="M33" s="17"/>
      <c r="N33" s="17"/>
      <c r="O33" s="17"/>
      <c r="P33" s="18"/>
    </row>
    <row r="34" spans="1:16" x14ac:dyDescent="0.3">
      <c r="A34" s="8" t="s">
        <v>26</v>
      </c>
      <c r="B34" s="10"/>
      <c r="C34" s="10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0"/>
      <c r="O34" s="10"/>
      <c r="P34" s="18"/>
    </row>
    <row r="35" spans="1:16" x14ac:dyDescent="0.3">
      <c r="A35" s="8" t="s">
        <v>20</v>
      </c>
      <c r="B35" s="10"/>
      <c r="C35" s="10"/>
      <c r="D35" s="10"/>
      <c r="E35" s="10"/>
      <c r="F35" s="10"/>
      <c r="G35" s="10"/>
      <c r="H35" s="17"/>
      <c r="I35" s="17"/>
      <c r="J35" s="17"/>
      <c r="K35" s="17"/>
      <c r="L35" s="17"/>
      <c r="M35" s="17"/>
      <c r="N35" s="17"/>
      <c r="O35" s="17"/>
      <c r="P35" s="18"/>
    </row>
    <row r="36" spans="1:16" x14ac:dyDescent="0.3">
      <c r="A36" s="9" t="s">
        <v>21</v>
      </c>
      <c r="B36" s="20"/>
      <c r="C36" s="20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0"/>
      <c r="O36" s="10"/>
      <c r="P36" s="18"/>
    </row>
  </sheetData>
  <mergeCells count="46">
    <mergeCell ref="B1:P1"/>
    <mergeCell ref="B2:P2"/>
    <mergeCell ref="B3:C3"/>
    <mergeCell ref="D3:E3"/>
    <mergeCell ref="F3:G3"/>
    <mergeCell ref="H3:I3"/>
    <mergeCell ref="J3:K3"/>
    <mergeCell ref="L3:M3"/>
    <mergeCell ref="N3:O3"/>
    <mergeCell ref="N4:O4"/>
    <mergeCell ref="B5:C5"/>
    <mergeCell ref="D5:E5"/>
    <mergeCell ref="F5:G5"/>
    <mergeCell ref="H5:I5"/>
    <mergeCell ref="J5:K5"/>
    <mergeCell ref="L5:M5"/>
    <mergeCell ref="N5:O5"/>
    <mergeCell ref="B4:C4"/>
    <mergeCell ref="D4:E4"/>
    <mergeCell ref="F4:G4"/>
    <mergeCell ref="H4:I4"/>
    <mergeCell ref="J4:K4"/>
    <mergeCell ref="L4:M4"/>
    <mergeCell ref="B19:P19"/>
    <mergeCell ref="B20:P20"/>
    <mergeCell ref="B21:C21"/>
    <mergeCell ref="D21:E21"/>
    <mergeCell ref="F21:G21"/>
    <mergeCell ref="H21:I21"/>
    <mergeCell ref="J21:K21"/>
    <mergeCell ref="L21:M21"/>
    <mergeCell ref="N21:O21"/>
    <mergeCell ref="N22:O22"/>
    <mergeCell ref="B23:C23"/>
    <mergeCell ref="D23:E23"/>
    <mergeCell ref="F23:G23"/>
    <mergeCell ref="H23:I23"/>
    <mergeCell ref="J23:K23"/>
    <mergeCell ref="L23:M23"/>
    <mergeCell ref="N23:O23"/>
    <mergeCell ref="B22:C22"/>
    <mergeCell ref="D22:E22"/>
    <mergeCell ref="F22:G22"/>
    <mergeCell ref="H22:I22"/>
    <mergeCell ref="J22:K22"/>
    <mergeCell ref="L22:M22"/>
  </mergeCells>
  <pageMargins left="0.7" right="0.7" top="0.75" bottom="0.75" header="0.3" footer="0.3"/>
  <pageSetup paperSize="9" scale="3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59B3B-982B-4C1D-8967-F06860DBE9AB}">
  <sheetPr>
    <pageSetUpPr fitToPage="1"/>
  </sheetPr>
  <dimension ref="A1:AC34"/>
  <sheetViews>
    <sheetView workbookViewId="0">
      <selection activeCell="A2" sqref="A2"/>
    </sheetView>
  </sheetViews>
  <sheetFormatPr baseColWidth="10" defaultRowHeight="14.4" x14ac:dyDescent="0.3"/>
  <sheetData>
    <row r="1" spans="1:29" ht="15" thickBot="1" x14ac:dyDescent="0.35">
      <c r="A1" s="1"/>
      <c r="B1" s="67" t="s">
        <v>0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8"/>
    </row>
    <row r="2" spans="1:29" ht="15" thickBot="1" x14ac:dyDescent="0.35">
      <c r="A2" s="2"/>
      <c r="B2" s="67" t="s">
        <v>33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8"/>
    </row>
    <row r="3" spans="1:29" x14ac:dyDescent="0.3">
      <c r="A3" s="3"/>
      <c r="B3" s="74" t="s">
        <v>1</v>
      </c>
      <c r="C3" s="75"/>
      <c r="D3" s="74" t="s">
        <v>2</v>
      </c>
      <c r="E3" s="75"/>
      <c r="F3" s="74" t="s">
        <v>3</v>
      </c>
      <c r="G3" s="75"/>
      <c r="H3" s="74" t="s">
        <v>4</v>
      </c>
      <c r="I3" s="75"/>
      <c r="J3" s="74" t="s">
        <v>5</v>
      </c>
      <c r="K3" s="75"/>
      <c r="L3" s="74" t="s">
        <v>6</v>
      </c>
      <c r="M3" s="75"/>
      <c r="N3" s="74" t="s">
        <v>7</v>
      </c>
      <c r="O3" s="75"/>
      <c r="P3" s="4" t="s">
        <v>8</v>
      </c>
      <c r="W3" s="5" t="e">
        <f t="shared" ref="W3:W18" si="0">C3-B3</f>
        <v>#VALUE!</v>
      </c>
      <c r="X3" s="5" t="e">
        <f t="shared" ref="X3:X18" si="1">E3-D3</f>
        <v>#VALUE!</v>
      </c>
      <c r="Y3" s="5" t="e">
        <f t="shared" ref="Y3:Y18" si="2">G3-F3</f>
        <v>#VALUE!</v>
      </c>
      <c r="Z3" s="5" t="e">
        <f t="shared" ref="Z3:Z18" si="3">I3-H3</f>
        <v>#VALUE!</v>
      </c>
      <c r="AA3" s="5" t="e">
        <f t="shared" ref="AA3:AA18" si="4">K3-J3</f>
        <v>#VALUE!</v>
      </c>
      <c r="AB3" s="5" t="e">
        <f t="shared" ref="AB3:AB18" si="5">M3-L3</f>
        <v>#VALUE!</v>
      </c>
      <c r="AC3" s="5" t="e">
        <f t="shared" ref="AC3:AC18" si="6">O3-N3</f>
        <v>#VALUE!</v>
      </c>
    </row>
    <row r="4" spans="1:29" x14ac:dyDescent="0.3">
      <c r="A4" s="6"/>
      <c r="B4" s="72">
        <v>46062</v>
      </c>
      <c r="C4" s="73"/>
      <c r="D4" s="72">
        <v>46063</v>
      </c>
      <c r="E4" s="73"/>
      <c r="F4" s="72">
        <v>46064</v>
      </c>
      <c r="G4" s="73"/>
      <c r="H4" s="72">
        <v>46065</v>
      </c>
      <c r="I4" s="73"/>
      <c r="J4" s="72">
        <v>46066</v>
      </c>
      <c r="K4" s="73"/>
      <c r="L4" s="72">
        <v>46067</v>
      </c>
      <c r="M4" s="73"/>
      <c r="N4" s="72">
        <v>46068</v>
      </c>
      <c r="O4" s="73"/>
      <c r="P4" s="7"/>
      <c r="W4" s="5">
        <f t="shared" si="0"/>
        <v>-46062</v>
      </c>
      <c r="X4" s="5">
        <f t="shared" si="1"/>
        <v>-46063</v>
      </c>
      <c r="Y4" s="5">
        <f t="shared" si="2"/>
        <v>-46064</v>
      </c>
      <c r="Z4" s="5">
        <f t="shared" si="3"/>
        <v>-46065</v>
      </c>
      <c r="AA4" s="5">
        <f t="shared" si="4"/>
        <v>-46066</v>
      </c>
      <c r="AB4" s="5">
        <f t="shared" si="5"/>
        <v>-46067</v>
      </c>
      <c r="AC4" s="5">
        <f t="shared" si="6"/>
        <v>-46068</v>
      </c>
    </row>
    <row r="5" spans="1:29" x14ac:dyDescent="0.3">
      <c r="A5" s="8" t="s">
        <v>9</v>
      </c>
      <c r="B5" s="72"/>
      <c r="C5" s="73"/>
      <c r="D5" s="72"/>
      <c r="E5" s="73"/>
      <c r="F5" s="72"/>
      <c r="G5" s="73"/>
      <c r="H5" s="72"/>
      <c r="I5" s="73"/>
      <c r="J5" s="72"/>
      <c r="K5" s="73"/>
      <c r="L5" s="72"/>
      <c r="M5" s="73"/>
      <c r="N5" s="72"/>
      <c r="O5" s="73"/>
      <c r="P5" s="7"/>
      <c r="W5" s="5">
        <f t="shared" si="0"/>
        <v>0</v>
      </c>
      <c r="X5" s="5">
        <f t="shared" si="1"/>
        <v>0</v>
      </c>
      <c r="Y5" s="5">
        <f t="shared" si="2"/>
        <v>0</v>
      </c>
      <c r="Z5" s="5">
        <f t="shared" si="3"/>
        <v>0</v>
      </c>
      <c r="AA5" s="5">
        <f t="shared" si="4"/>
        <v>0</v>
      </c>
      <c r="AB5" s="5">
        <f t="shared" si="5"/>
        <v>0</v>
      </c>
      <c r="AC5" s="5">
        <f t="shared" si="6"/>
        <v>0</v>
      </c>
    </row>
    <row r="6" spans="1:29" ht="14.25" customHeight="1" x14ac:dyDescent="0.3">
      <c r="A6" s="9" t="s">
        <v>10</v>
      </c>
      <c r="B6" s="10"/>
      <c r="C6" s="10"/>
      <c r="D6" s="11">
        <v>0.39583333333333331</v>
      </c>
      <c r="E6" s="11">
        <v>0.72916666666666663</v>
      </c>
      <c r="F6" s="11">
        <v>0.375</v>
      </c>
      <c r="G6" s="11">
        <v>0.72916666666666663</v>
      </c>
      <c r="H6" s="10"/>
      <c r="I6" s="10"/>
      <c r="J6" s="10"/>
      <c r="K6" s="10"/>
      <c r="L6" s="10"/>
      <c r="M6" s="10"/>
      <c r="N6" s="10"/>
      <c r="O6" s="10"/>
      <c r="P6" s="12">
        <f>W6+X6+Y6+Z6+AA6+AB6+AC6</f>
        <v>0.6875</v>
      </c>
      <c r="W6" s="5">
        <f t="shared" si="0"/>
        <v>0</v>
      </c>
      <c r="X6" s="5">
        <f t="shared" si="1"/>
        <v>0.33333333333333331</v>
      </c>
      <c r="Y6" s="5">
        <f t="shared" si="2"/>
        <v>0.35416666666666663</v>
      </c>
      <c r="Z6" s="5">
        <f t="shared" si="3"/>
        <v>0</v>
      </c>
      <c r="AA6" s="5">
        <f t="shared" si="4"/>
        <v>0</v>
      </c>
      <c r="AB6" s="5">
        <f t="shared" si="5"/>
        <v>0</v>
      </c>
      <c r="AC6" s="5">
        <f t="shared" si="6"/>
        <v>0</v>
      </c>
    </row>
    <row r="7" spans="1:29" x14ac:dyDescent="0.3">
      <c r="A7" s="13" t="s">
        <v>12</v>
      </c>
      <c r="B7" s="11">
        <v>0.41666666666666669</v>
      </c>
      <c r="C7" s="11">
        <v>0.70833333333333337</v>
      </c>
      <c r="D7" s="11">
        <v>0.41666666666666669</v>
      </c>
      <c r="E7" s="11">
        <v>0.70833333333333337</v>
      </c>
      <c r="F7" s="11">
        <v>0.41666666666666669</v>
      </c>
      <c r="G7" s="11">
        <v>0.70833333333333337</v>
      </c>
      <c r="H7" s="11">
        <v>0.41666666666666669</v>
      </c>
      <c r="I7" s="11">
        <v>0.70833333333333337</v>
      </c>
      <c r="J7" s="11">
        <v>0.41666666666666669</v>
      </c>
      <c r="K7" s="11">
        <v>0.70833333333333337</v>
      </c>
      <c r="L7" s="10"/>
      <c r="M7" s="10"/>
      <c r="N7" s="10"/>
      <c r="O7" s="10"/>
      <c r="P7" s="12">
        <f>W7+X7+Y7+Z7+AA7+AB7+AC7</f>
        <v>1.4583333333333335</v>
      </c>
      <c r="W7" s="5">
        <f t="shared" si="0"/>
        <v>0.29166666666666669</v>
      </c>
      <c r="X7" s="5">
        <f t="shared" si="1"/>
        <v>0.29166666666666669</v>
      </c>
      <c r="Y7" s="5">
        <f t="shared" si="2"/>
        <v>0.29166666666666669</v>
      </c>
      <c r="Z7" s="5">
        <f t="shared" si="3"/>
        <v>0.29166666666666669</v>
      </c>
      <c r="AA7" s="5">
        <f t="shared" si="4"/>
        <v>0.29166666666666669</v>
      </c>
      <c r="AB7" s="5">
        <f t="shared" si="5"/>
        <v>0</v>
      </c>
      <c r="AC7" s="5">
        <f t="shared" si="6"/>
        <v>0</v>
      </c>
    </row>
    <row r="8" spans="1:29" x14ac:dyDescent="0.3">
      <c r="A8" s="8" t="s">
        <v>28</v>
      </c>
      <c r="B8" s="14">
        <v>0.39583333333333331</v>
      </c>
      <c r="C8" s="14">
        <v>0.72916666666666663</v>
      </c>
      <c r="D8" s="14">
        <v>0.39583333333333331</v>
      </c>
      <c r="E8" s="14">
        <v>0.72916666666666663</v>
      </c>
      <c r="F8" s="14">
        <v>0.375</v>
      </c>
      <c r="G8" s="14">
        <v>0.70833333333333337</v>
      </c>
      <c r="H8" s="10"/>
      <c r="I8" s="10"/>
      <c r="J8" s="10"/>
      <c r="K8" s="10"/>
      <c r="L8" s="14">
        <v>0.39583333333333331</v>
      </c>
      <c r="M8" s="14">
        <v>0.70833333333333337</v>
      </c>
      <c r="N8" s="14">
        <v>0.39583333333333331</v>
      </c>
      <c r="O8" s="14">
        <v>0.70833333333333337</v>
      </c>
      <c r="P8" s="12">
        <f t="shared" ref="P8:P10" si="7">W8+X8+Y8+Z8+AA8+AB8+AC8</f>
        <v>1.625</v>
      </c>
      <c r="W8" s="5">
        <f t="shared" si="0"/>
        <v>0.33333333333333331</v>
      </c>
      <c r="X8" s="5">
        <f t="shared" si="1"/>
        <v>0.33333333333333331</v>
      </c>
      <c r="Y8" s="5">
        <f t="shared" si="2"/>
        <v>0.33333333333333337</v>
      </c>
      <c r="Z8" s="5">
        <f t="shared" si="3"/>
        <v>0</v>
      </c>
      <c r="AA8" s="5">
        <f t="shared" si="4"/>
        <v>0</v>
      </c>
      <c r="AB8" s="5">
        <f t="shared" si="5"/>
        <v>0.31250000000000006</v>
      </c>
      <c r="AC8" s="5">
        <f t="shared" si="6"/>
        <v>0.31250000000000006</v>
      </c>
    </row>
    <row r="9" spans="1:29" x14ac:dyDescent="0.3">
      <c r="A9" s="8" t="s">
        <v>32</v>
      </c>
      <c r="B9" s="10"/>
      <c r="C9" s="10"/>
      <c r="D9" s="14">
        <v>0.39583333333333331</v>
      </c>
      <c r="E9" s="14">
        <v>0.72916666666666663</v>
      </c>
      <c r="F9" s="14">
        <v>0.375</v>
      </c>
      <c r="G9" s="14">
        <v>0.72916666666666663</v>
      </c>
      <c r="H9" s="14">
        <v>0.41666666666666669</v>
      </c>
      <c r="I9" s="14">
        <v>0.72916666666666663</v>
      </c>
      <c r="J9" s="14">
        <v>0.375</v>
      </c>
      <c r="K9" s="14">
        <v>0.70833333333333337</v>
      </c>
      <c r="L9" s="14">
        <v>0.41666666666666669</v>
      </c>
      <c r="M9" s="14">
        <v>0.70833333333333337</v>
      </c>
      <c r="N9" s="10"/>
      <c r="O9" s="10"/>
      <c r="P9" s="12">
        <f t="shared" si="7"/>
        <v>1.6250000000000002</v>
      </c>
      <c r="W9" s="5">
        <f t="shared" si="0"/>
        <v>0</v>
      </c>
      <c r="X9" s="5">
        <f t="shared" si="1"/>
        <v>0.33333333333333331</v>
      </c>
      <c r="Y9" s="5">
        <f t="shared" si="2"/>
        <v>0.35416666666666663</v>
      </c>
      <c r="Z9" s="5">
        <f t="shared" si="3"/>
        <v>0.31249999999999994</v>
      </c>
      <c r="AA9" s="5">
        <f t="shared" si="4"/>
        <v>0.33333333333333337</v>
      </c>
      <c r="AB9" s="5">
        <f t="shared" si="5"/>
        <v>0.29166666666666669</v>
      </c>
      <c r="AC9" s="5">
        <f t="shared" si="6"/>
        <v>0</v>
      </c>
    </row>
    <row r="10" spans="1:29" x14ac:dyDescent="0.3">
      <c r="A10" s="8" t="s">
        <v>14</v>
      </c>
      <c r="B10" s="14">
        <v>0.39583333333333331</v>
      </c>
      <c r="C10" s="14">
        <v>0.72916666666666663</v>
      </c>
      <c r="D10" s="10"/>
      <c r="E10" s="10"/>
      <c r="F10" s="10"/>
      <c r="G10" s="10"/>
      <c r="H10" s="14">
        <v>0.41666666666666669</v>
      </c>
      <c r="I10" s="14">
        <v>0.72916666666666663</v>
      </c>
      <c r="J10" s="14">
        <v>0.375</v>
      </c>
      <c r="K10" s="14">
        <v>0.70833333333333337</v>
      </c>
      <c r="L10" s="14">
        <v>0.39583333333333331</v>
      </c>
      <c r="M10" s="14">
        <v>0.72916666666666663</v>
      </c>
      <c r="N10" s="14">
        <v>0.39583333333333331</v>
      </c>
      <c r="O10" s="14">
        <v>0.70833333333333337</v>
      </c>
      <c r="P10" s="12">
        <f t="shared" si="7"/>
        <v>1.625</v>
      </c>
      <c r="W10" s="5">
        <f t="shared" si="0"/>
        <v>0.33333333333333331</v>
      </c>
      <c r="X10" s="5">
        <f t="shared" si="1"/>
        <v>0</v>
      </c>
      <c r="Y10" s="5">
        <f t="shared" si="2"/>
        <v>0</v>
      </c>
      <c r="Z10" s="5">
        <f t="shared" si="3"/>
        <v>0.31249999999999994</v>
      </c>
      <c r="AA10" s="5">
        <f t="shared" si="4"/>
        <v>0.33333333333333337</v>
      </c>
      <c r="AB10" s="5">
        <f t="shared" si="5"/>
        <v>0.33333333333333331</v>
      </c>
      <c r="AC10" s="5">
        <f t="shared" si="6"/>
        <v>0.31250000000000006</v>
      </c>
    </row>
    <row r="11" spans="1:29" x14ac:dyDescent="0.3">
      <c r="A11" s="15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W11" s="5">
        <f t="shared" si="0"/>
        <v>0</v>
      </c>
      <c r="X11" s="5">
        <f t="shared" si="1"/>
        <v>0</v>
      </c>
      <c r="Y11" s="5">
        <f t="shared" si="2"/>
        <v>0</v>
      </c>
      <c r="Z11" s="5">
        <f t="shared" si="3"/>
        <v>0</v>
      </c>
      <c r="AA11" s="5">
        <f t="shared" si="4"/>
        <v>0</v>
      </c>
      <c r="AB11" s="5">
        <f t="shared" si="5"/>
        <v>0</v>
      </c>
      <c r="AC11" s="5">
        <f t="shared" si="6"/>
        <v>0</v>
      </c>
    </row>
    <row r="12" spans="1:29" x14ac:dyDescent="0.3">
      <c r="A12" s="9" t="s">
        <v>16</v>
      </c>
      <c r="B12" s="10"/>
      <c r="C12" s="10"/>
      <c r="D12" s="17">
        <v>0.70833333333333337</v>
      </c>
      <c r="E12" s="17">
        <v>1.0625</v>
      </c>
      <c r="F12" s="17">
        <v>0.72916666666666663</v>
      </c>
      <c r="G12" s="17">
        <v>1.0625</v>
      </c>
      <c r="H12" s="17">
        <v>0.70833333333333304</v>
      </c>
      <c r="I12" s="17">
        <v>1.0625</v>
      </c>
      <c r="J12" s="17">
        <v>0.70833333333333304</v>
      </c>
      <c r="K12" s="17">
        <v>1.0625</v>
      </c>
      <c r="L12" s="17">
        <v>0.70833333333333304</v>
      </c>
      <c r="M12" s="17">
        <v>1.0625</v>
      </c>
      <c r="N12" s="10"/>
      <c r="O12" s="10"/>
      <c r="P12" s="18">
        <f t="shared" ref="P12:P13" si="8">W12+X12+Y12+Z12+AA12+AB12+AC12</f>
        <v>1.7500000000000009</v>
      </c>
      <c r="W12" s="5">
        <f t="shared" si="0"/>
        <v>0</v>
      </c>
      <c r="X12" s="5">
        <f t="shared" si="1"/>
        <v>0.35416666666666663</v>
      </c>
      <c r="Y12" s="5">
        <f t="shared" si="2"/>
        <v>0.33333333333333337</v>
      </c>
      <c r="Z12" s="5">
        <f t="shared" si="3"/>
        <v>0.35416666666666696</v>
      </c>
      <c r="AA12" s="5">
        <f t="shared" si="4"/>
        <v>0.35416666666666696</v>
      </c>
      <c r="AB12" s="5">
        <f t="shared" si="5"/>
        <v>0.35416666666666696</v>
      </c>
      <c r="AC12" s="5">
        <f t="shared" si="6"/>
        <v>0</v>
      </c>
    </row>
    <row r="13" spans="1:29" x14ac:dyDescent="0.3">
      <c r="A13" s="9" t="s">
        <v>17</v>
      </c>
      <c r="B13" s="17">
        <v>0.70833333333333337</v>
      </c>
      <c r="C13" s="17">
        <v>1.0208333333333299</v>
      </c>
      <c r="D13" s="10"/>
      <c r="E13" s="10"/>
      <c r="F13" s="10"/>
      <c r="G13" s="10"/>
      <c r="H13" s="17">
        <v>0.70833333333333337</v>
      </c>
      <c r="I13" s="17">
        <v>1.0625</v>
      </c>
      <c r="J13" s="17">
        <v>0.70833333333333304</v>
      </c>
      <c r="K13" s="17">
        <v>1.0625</v>
      </c>
      <c r="L13" s="17">
        <v>0.6875</v>
      </c>
      <c r="M13" s="17">
        <v>1.0625</v>
      </c>
      <c r="N13" s="17">
        <v>0.66666666666666663</v>
      </c>
      <c r="O13" s="17">
        <v>1.0208333333333333</v>
      </c>
      <c r="P13" s="18">
        <f t="shared" si="8"/>
        <v>1.7499999999999969</v>
      </c>
      <c r="W13" s="5">
        <f t="shared" si="0"/>
        <v>0.31249999999999656</v>
      </c>
      <c r="X13" s="5">
        <f t="shared" si="1"/>
        <v>0</v>
      </c>
      <c r="Y13" s="5">
        <f t="shared" si="2"/>
        <v>0</v>
      </c>
      <c r="Z13" s="5">
        <f t="shared" si="3"/>
        <v>0.35416666666666663</v>
      </c>
      <c r="AA13" s="5">
        <f t="shared" si="4"/>
        <v>0.35416666666666696</v>
      </c>
      <c r="AB13" s="5">
        <f t="shared" si="5"/>
        <v>0.375</v>
      </c>
      <c r="AC13" s="5">
        <f t="shared" si="6"/>
        <v>0.35416666666666663</v>
      </c>
    </row>
    <row r="14" spans="1:29" x14ac:dyDescent="0.3">
      <c r="A14" s="9" t="s">
        <v>21</v>
      </c>
      <c r="B14" s="20"/>
      <c r="C14" s="20"/>
      <c r="D14" s="17">
        <v>0.70833333333333337</v>
      </c>
      <c r="E14" s="17">
        <v>1.0625</v>
      </c>
      <c r="F14" s="17">
        <v>0.70833333333333337</v>
      </c>
      <c r="G14" s="17">
        <v>1.0625</v>
      </c>
      <c r="H14" s="17">
        <v>0.72916666666666663</v>
      </c>
      <c r="I14" s="17">
        <v>1.0625</v>
      </c>
      <c r="J14" s="17">
        <v>0.70833333333333337</v>
      </c>
      <c r="K14" s="17">
        <v>1.0625</v>
      </c>
      <c r="L14" s="17">
        <v>0.70833333333333337</v>
      </c>
      <c r="M14" s="17">
        <v>1.0625</v>
      </c>
      <c r="N14" s="10"/>
      <c r="O14" s="10"/>
      <c r="P14" s="18">
        <f>W14+X14+Y14+Z14+AA14+AB14+AC14</f>
        <v>1.7499999999999996</v>
      </c>
      <c r="W14" s="5">
        <f t="shared" si="0"/>
        <v>0</v>
      </c>
      <c r="X14" s="5">
        <f t="shared" si="1"/>
        <v>0.35416666666666663</v>
      </c>
      <c r="Y14" s="5">
        <f t="shared" si="2"/>
        <v>0.35416666666666663</v>
      </c>
      <c r="Z14" s="5">
        <f t="shared" si="3"/>
        <v>0.33333333333333337</v>
      </c>
      <c r="AA14" s="5">
        <f t="shared" si="4"/>
        <v>0.35416666666666663</v>
      </c>
      <c r="AB14" s="5">
        <f t="shared" si="5"/>
        <v>0.35416666666666663</v>
      </c>
      <c r="AC14" s="5">
        <f t="shared" si="6"/>
        <v>0</v>
      </c>
    </row>
    <row r="15" spans="1:29" x14ac:dyDescent="0.3">
      <c r="A15" s="19" t="s">
        <v>18</v>
      </c>
      <c r="B15" s="17">
        <v>0.70833333333333337</v>
      </c>
      <c r="C15" s="17">
        <v>1.0208333333333299</v>
      </c>
      <c r="D15" s="17">
        <v>0.72916666666666663</v>
      </c>
      <c r="E15" s="17">
        <v>1.0625</v>
      </c>
      <c r="F15" s="17">
        <v>0.75</v>
      </c>
      <c r="G15" s="17">
        <v>1.0625</v>
      </c>
      <c r="H15" s="20"/>
      <c r="I15" s="20"/>
      <c r="J15" s="20"/>
      <c r="K15" s="20"/>
      <c r="L15" s="17">
        <v>0.70833333333333337</v>
      </c>
      <c r="M15" s="17">
        <v>1.0625</v>
      </c>
      <c r="N15" s="17">
        <v>0.70833333333333337</v>
      </c>
      <c r="O15" s="17">
        <v>1.0208333333333333</v>
      </c>
      <c r="P15" s="18">
        <f t="shared" ref="P15:P17" si="9">W15+X15+Y15+Z15+AA15+AB15+AC15</f>
        <v>1.6249999999999964</v>
      </c>
      <c r="W15" s="5">
        <f t="shared" si="0"/>
        <v>0.31249999999999656</v>
      </c>
      <c r="X15" s="5">
        <f t="shared" si="1"/>
        <v>0.33333333333333337</v>
      </c>
      <c r="Y15" s="5">
        <f t="shared" si="2"/>
        <v>0.3125</v>
      </c>
      <c r="Z15" s="5">
        <f t="shared" si="3"/>
        <v>0</v>
      </c>
      <c r="AA15" s="5">
        <f t="shared" si="4"/>
        <v>0</v>
      </c>
      <c r="AB15" s="5">
        <f t="shared" si="5"/>
        <v>0.35416666666666663</v>
      </c>
      <c r="AC15" s="5">
        <f t="shared" si="6"/>
        <v>0.31249999999999989</v>
      </c>
    </row>
    <row r="16" spans="1:29" x14ac:dyDescent="0.3">
      <c r="A16" s="8" t="s">
        <v>26</v>
      </c>
      <c r="B16" s="10"/>
      <c r="C16" s="10"/>
      <c r="D16" s="10"/>
      <c r="E16" s="10"/>
      <c r="F16" s="17">
        <v>0.75</v>
      </c>
      <c r="G16" s="17">
        <v>1.0625</v>
      </c>
      <c r="H16" s="17">
        <v>0.75</v>
      </c>
      <c r="I16" s="17">
        <v>1.0625</v>
      </c>
      <c r="J16" s="17">
        <v>0.75</v>
      </c>
      <c r="K16" s="17">
        <v>1.0625</v>
      </c>
      <c r="L16" s="17">
        <v>0.72916666666666663</v>
      </c>
      <c r="M16" s="17">
        <v>1.0625</v>
      </c>
      <c r="N16" s="17">
        <v>0.66666666666666663</v>
      </c>
      <c r="O16" s="17">
        <v>1.0208333333333333</v>
      </c>
      <c r="P16" s="18">
        <f t="shared" si="9"/>
        <v>1.625</v>
      </c>
      <c r="W16" s="5">
        <f>C16-B16</f>
        <v>0</v>
      </c>
      <c r="X16" s="5">
        <f>E16-D16</f>
        <v>0</v>
      </c>
      <c r="Y16" s="5">
        <f>G16-F16</f>
        <v>0.3125</v>
      </c>
      <c r="Z16" s="5">
        <f>I16-H16</f>
        <v>0.3125</v>
      </c>
      <c r="AA16" s="5">
        <f>K16-J16</f>
        <v>0.3125</v>
      </c>
      <c r="AB16" s="5">
        <f>M16-L16</f>
        <v>0.33333333333333337</v>
      </c>
      <c r="AC16" s="5">
        <f>O16-N16</f>
        <v>0.35416666666666663</v>
      </c>
    </row>
    <row r="17" spans="1:29" ht="15" thickBot="1" x14ac:dyDescent="0.35">
      <c r="A17" s="8" t="s">
        <v>34</v>
      </c>
      <c r="B17" s="10"/>
      <c r="C17" s="10"/>
      <c r="D17" s="17">
        <v>0.75</v>
      </c>
      <c r="E17" s="17">
        <v>1.0625</v>
      </c>
      <c r="F17" s="17">
        <v>0.72916666666666663</v>
      </c>
      <c r="G17" s="17">
        <v>1.0625</v>
      </c>
      <c r="H17" s="17">
        <v>0.75</v>
      </c>
      <c r="I17" s="17">
        <v>1.0625</v>
      </c>
      <c r="J17" s="17">
        <v>0.75</v>
      </c>
      <c r="K17" s="17">
        <v>1.0625</v>
      </c>
      <c r="L17" s="17">
        <v>0.70833333333333337</v>
      </c>
      <c r="M17" s="17">
        <v>1.0625</v>
      </c>
      <c r="N17" s="10"/>
      <c r="O17" s="10"/>
      <c r="P17" s="18">
        <f t="shared" si="9"/>
        <v>1.625</v>
      </c>
      <c r="W17" s="5">
        <f>C17-B17</f>
        <v>0</v>
      </c>
      <c r="X17" s="5">
        <f>E17-D17</f>
        <v>0.3125</v>
      </c>
      <c r="Y17" s="5">
        <f>G17-F17</f>
        <v>0.33333333333333337</v>
      </c>
      <c r="Z17" s="5">
        <f>I17-H17</f>
        <v>0.3125</v>
      </c>
      <c r="AA17" s="5">
        <f>K17-J17</f>
        <v>0.3125</v>
      </c>
      <c r="AB17" s="5">
        <f>M17-L17</f>
        <v>0.35416666666666663</v>
      </c>
      <c r="AC17" s="5">
        <f>O17-N17</f>
        <v>0</v>
      </c>
    </row>
    <row r="18" spans="1:29" ht="15" thickBot="1" x14ac:dyDescent="0.35">
      <c r="A18" s="1" t="e" cm="1">
        <f t="array" ref="A18">+A18:PA18:P+A18:P363628A1:P2A1:P48</f>
        <v>#NAME?</v>
      </c>
      <c r="B18" s="67" t="s">
        <v>0</v>
      </c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8"/>
      <c r="W18" s="5" t="e">
        <f t="shared" si="0"/>
        <v>#VALUE!</v>
      </c>
      <c r="X18" s="5">
        <f t="shared" si="1"/>
        <v>0</v>
      </c>
      <c r="Y18" s="5">
        <f t="shared" si="2"/>
        <v>0</v>
      </c>
      <c r="Z18" s="5">
        <f t="shared" si="3"/>
        <v>0</v>
      </c>
      <c r="AA18" s="5">
        <f t="shared" si="4"/>
        <v>0</v>
      </c>
      <c r="AB18" s="5">
        <f t="shared" si="5"/>
        <v>0</v>
      </c>
      <c r="AC18" s="5">
        <f t="shared" si="6"/>
        <v>0</v>
      </c>
    </row>
    <row r="19" spans="1:29" ht="15" thickBot="1" x14ac:dyDescent="0.35">
      <c r="A19" s="2"/>
      <c r="B19" s="67" t="s">
        <v>33</v>
      </c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8"/>
    </row>
    <row r="20" spans="1:29" x14ac:dyDescent="0.3">
      <c r="A20" s="3"/>
      <c r="B20" s="74" t="s">
        <v>1</v>
      </c>
      <c r="C20" s="75"/>
      <c r="D20" s="74" t="s">
        <v>2</v>
      </c>
      <c r="E20" s="75"/>
      <c r="F20" s="74" t="s">
        <v>3</v>
      </c>
      <c r="G20" s="75"/>
      <c r="H20" s="74" t="s">
        <v>4</v>
      </c>
      <c r="I20" s="75"/>
      <c r="J20" s="74" t="s">
        <v>5</v>
      </c>
      <c r="K20" s="75"/>
      <c r="L20" s="74" t="s">
        <v>6</v>
      </c>
      <c r="M20" s="75"/>
      <c r="N20" s="74" t="s">
        <v>7</v>
      </c>
      <c r="O20" s="75"/>
      <c r="P20" s="4" t="s">
        <v>8</v>
      </c>
    </row>
    <row r="21" spans="1:29" x14ac:dyDescent="0.3">
      <c r="A21" s="6"/>
      <c r="B21" s="72">
        <v>46062</v>
      </c>
      <c r="C21" s="73"/>
      <c r="D21" s="72">
        <v>46063</v>
      </c>
      <c r="E21" s="73"/>
      <c r="F21" s="72">
        <v>46064</v>
      </c>
      <c r="G21" s="73"/>
      <c r="H21" s="72">
        <v>46065</v>
      </c>
      <c r="I21" s="73"/>
      <c r="J21" s="72">
        <v>46066</v>
      </c>
      <c r="K21" s="73"/>
      <c r="L21" s="72">
        <v>46067</v>
      </c>
      <c r="M21" s="73"/>
      <c r="N21" s="72">
        <v>46068</v>
      </c>
      <c r="O21" s="73"/>
      <c r="P21" s="7"/>
    </row>
    <row r="22" spans="1:29" x14ac:dyDescent="0.3">
      <c r="A22" s="8" t="s">
        <v>9</v>
      </c>
      <c r="B22" s="72"/>
      <c r="C22" s="73"/>
      <c r="D22" s="72"/>
      <c r="E22" s="73"/>
      <c r="F22" s="72"/>
      <c r="G22" s="73"/>
      <c r="H22" s="72"/>
      <c r="I22" s="73"/>
      <c r="J22" s="72"/>
      <c r="K22" s="73"/>
      <c r="L22" s="72"/>
      <c r="M22" s="73"/>
      <c r="N22" s="72"/>
      <c r="O22" s="73"/>
      <c r="P22" s="7"/>
    </row>
    <row r="23" spans="1:29" x14ac:dyDescent="0.3">
      <c r="A23" s="9" t="s">
        <v>10</v>
      </c>
      <c r="B23" s="10"/>
      <c r="C23" s="10"/>
      <c r="D23" s="11"/>
      <c r="E23" s="11"/>
      <c r="F23" s="11"/>
      <c r="G23" s="11"/>
      <c r="H23" s="10"/>
      <c r="I23" s="10"/>
      <c r="J23" s="10"/>
      <c r="K23" s="10"/>
      <c r="L23" s="10"/>
      <c r="M23" s="10"/>
      <c r="N23" s="10"/>
      <c r="O23" s="10"/>
      <c r="P23" s="12"/>
    </row>
    <row r="24" spans="1:29" x14ac:dyDescent="0.3">
      <c r="A24" s="13" t="s">
        <v>12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0"/>
      <c r="M24" s="10"/>
      <c r="N24" s="10"/>
      <c r="O24" s="10"/>
      <c r="P24" s="12"/>
    </row>
    <row r="25" spans="1:29" x14ac:dyDescent="0.3">
      <c r="A25" s="8" t="s">
        <v>28</v>
      </c>
      <c r="B25" s="14"/>
      <c r="C25" s="14"/>
      <c r="D25" s="14"/>
      <c r="E25" s="14"/>
      <c r="F25" s="14"/>
      <c r="G25" s="14"/>
      <c r="H25" s="10"/>
      <c r="I25" s="10"/>
      <c r="J25" s="10"/>
      <c r="K25" s="10"/>
      <c r="L25" s="14"/>
      <c r="M25" s="14"/>
      <c r="N25" s="14"/>
      <c r="O25" s="14"/>
      <c r="P25" s="12"/>
    </row>
    <row r="26" spans="1:29" x14ac:dyDescent="0.3">
      <c r="A26" s="8" t="s">
        <v>32</v>
      </c>
      <c r="B26" s="10"/>
      <c r="C26" s="10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0"/>
      <c r="O26" s="10"/>
      <c r="P26" s="12"/>
    </row>
    <row r="27" spans="1:29" x14ac:dyDescent="0.3">
      <c r="A27" s="8" t="s">
        <v>14</v>
      </c>
      <c r="B27" s="14"/>
      <c r="C27" s="14"/>
      <c r="D27" s="10"/>
      <c r="E27" s="10"/>
      <c r="F27" s="10"/>
      <c r="G27" s="10"/>
      <c r="H27" s="14"/>
      <c r="I27" s="14"/>
      <c r="J27" s="14"/>
      <c r="K27" s="14"/>
      <c r="L27" s="14"/>
      <c r="M27" s="14"/>
      <c r="N27" s="14"/>
      <c r="O27" s="14"/>
      <c r="P27" s="12"/>
    </row>
    <row r="28" spans="1:29" x14ac:dyDescent="0.3">
      <c r="A28" s="15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</row>
    <row r="29" spans="1:29" x14ac:dyDescent="0.3">
      <c r="A29" s="9" t="s">
        <v>16</v>
      </c>
      <c r="B29" s="10"/>
      <c r="C29" s="10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0"/>
      <c r="O29" s="10"/>
      <c r="P29" s="18"/>
    </row>
    <row r="30" spans="1:29" x14ac:dyDescent="0.3">
      <c r="A30" s="9" t="s">
        <v>17</v>
      </c>
      <c r="B30" s="17"/>
      <c r="C30" s="17"/>
      <c r="D30" s="10"/>
      <c r="E30" s="10"/>
      <c r="F30" s="10"/>
      <c r="G30" s="10"/>
      <c r="H30" s="17"/>
      <c r="I30" s="17"/>
      <c r="J30" s="17"/>
      <c r="K30" s="17"/>
      <c r="L30" s="17"/>
      <c r="M30" s="17"/>
      <c r="N30" s="17"/>
      <c r="O30" s="17"/>
      <c r="P30" s="18"/>
    </row>
    <row r="31" spans="1:29" x14ac:dyDescent="0.3">
      <c r="A31" s="9" t="s">
        <v>21</v>
      </c>
      <c r="B31" s="20"/>
      <c r="C31" s="20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0"/>
      <c r="O31" s="10"/>
      <c r="P31" s="18"/>
    </row>
    <row r="32" spans="1:29" x14ac:dyDescent="0.3">
      <c r="A32" s="19" t="s">
        <v>18</v>
      </c>
      <c r="B32" s="17"/>
      <c r="C32" s="17"/>
      <c r="D32" s="17"/>
      <c r="E32" s="17"/>
      <c r="F32" s="17"/>
      <c r="G32" s="17"/>
      <c r="H32" s="20"/>
      <c r="I32" s="20"/>
      <c r="J32" s="20"/>
      <c r="K32" s="20"/>
      <c r="L32" s="17"/>
      <c r="M32" s="17"/>
      <c r="N32" s="17"/>
      <c r="O32" s="17"/>
      <c r="P32" s="18"/>
    </row>
    <row r="33" spans="1:16" x14ac:dyDescent="0.3">
      <c r="A33" s="8" t="s">
        <v>26</v>
      </c>
      <c r="B33" s="10"/>
      <c r="C33" s="10"/>
      <c r="D33" s="10"/>
      <c r="E33" s="10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8"/>
    </row>
    <row r="34" spans="1:16" x14ac:dyDescent="0.3">
      <c r="A34" s="19" t="s">
        <v>34</v>
      </c>
      <c r="B34" s="10"/>
      <c r="C34" s="10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0"/>
      <c r="O34" s="10"/>
      <c r="P34" s="18"/>
    </row>
  </sheetData>
  <mergeCells count="46">
    <mergeCell ref="B1:P1"/>
    <mergeCell ref="B2:P2"/>
    <mergeCell ref="B3:C3"/>
    <mergeCell ref="D3:E3"/>
    <mergeCell ref="F3:G3"/>
    <mergeCell ref="H3:I3"/>
    <mergeCell ref="J3:K3"/>
    <mergeCell ref="L3:M3"/>
    <mergeCell ref="N3:O3"/>
    <mergeCell ref="N4:O4"/>
    <mergeCell ref="B5:C5"/>
    <mergeCell ref="D5:E5"/>
    <mergeCell ref="F5:G5"/>
    <mergeCell ref="H5:I5"/>
    <mergeCell ref="J5:K5"/>
    <mergeCell ref="L5:M5"/>
    <mergeCell ref="N5:O5"/>
    <mergeCell ref="B4:C4"/>
    <mergeCell ref="D4:E4"/>
    <mergeCell ref="F4:G4"/>
    <mergeCell ref="H4:I4"/>
    <mergeCell ref="J4:K4"/>
    <mergeCell ref="L4:M4"/>
    <mergeCell ref="B18:P18"/>
    <mergeCell ref="B19:P19"/>
    <mergeCell ref="B20:C20"/>
    <mergeCell ref="D20:E20"/>
    <mergeCell ref="F20:G20"/>
    <mergeCell ref="H20:I20"/>
    <mergeCell ref="J20:K20"/>
    <mergeCell ref="L20:M20"/>
    <mergeCell ref="N20:O20"/>
    <mergeCell ref="N21:O21"/>
    <mergeCell ref="B22:C22"/>
    <mergeCell ref="D22:E22"/>
    <mergeCell ref="F22:G22"/>
    <mergeCell ref="H22:I22"/>
    <mergeCell ref="J22:K22"/>
    <mergeCell ref="L22:M22"/>
    <mergeCell ref="N22:O22"/>
    <mergeCell ref="B21:C21"/>
    <mergeCell ref="D21:E21"/>
    <mergeCell ref="F21:G21"/>
    <mergeCell ref="H21:I21"/>
    <mergeCell ref="J21:K21"/>
    <mergeCell ref="L21:M2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3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3EC4A-306D-4630-98FF-FBE06E7F6B85}">
  <sheetPr>
    <pageSetUpPr fitToPage="1"/>
  </sheetPr>
  <dimension ref="A1:AC34"/>
  <sheetViews>
    <sheetView workbookViewId="0">
      <selection activeCell="M12" sqref="D12:M12"/>
    </sheetView>
  </sheetViews>
  <sheetFormatPr baseColWidth="10" defaultRowHeight="14.4" x14ac:dyDescent="0.3"/>
  <sheetData>
    <row r="1" spans="1:29" ht="15" thickBot="1" x14ac:dyDescent="0.35">
      <c r="A1" s="1"/>
      <c r="B1" s="67" t="s">
        <v>0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8"/>
    </row>
    <row r="2" spans="1:29" ht="15" thickBot="1" x14ac:dyDescent="0.35">
      <c r="A2" s="2"/>
      <c r="B2" s="67" t="s">
        <v>33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8"/>
    </row>
    <row r="3" spans="1:29" x14ac:dyDescent="0.3">
      <c r="A3" s="3"/>
      <c r="B3" s="74" t="s">
        <v>1</v>
      </c>
      <c r="C3" s="75"/>
      <c r="D3" s="74" t="s">
        <v>2</v>
      </c>
      <c r="E3" s="75"/>
      <c r="F3" s="74" t="s">
        <v>3</v>
      </c>
      <c r="G3" s="75"/>
      <c r="H3" s="74" t="s">
        <v>4</v>
      </c>
      <c r="I3" s="75"/>
      <c r="J3" s="74" t="s">
        <v>5</v>
      </c>
      <c r="K3" s="75"/>
      <c r="L3" s="74" t="s">
        <v>6</v>
      </c>
      <c r="M3" s="75"/>
      <c r="N3" s="74" t="s">
        <v>7</v>
      </c>
      <c r="O3" s="75"/>
      <c r="P3" s="4" t="s">
        <v>8</v>
      </c>
      <c r="W3" s="5" t="e">
        <f t="shared" ref="W3:W15" si="0">C3-B3</f>
        <v>#VALUE!</v>
      </c>
      <c r="X3" s="5" t="e">
        <f t="shared" ref="X3:X15" si="1">E3-D3</f>
        <v>#VALUE!</v>
      </c>
      <c r="Y3" s="5" t="e">
        <f t="shared" ref="Y3:Y15" si="2">G3-F3</f>
        <v>#VALUE!</v>
      </c>
      <c r="Z3" s="5" t="e">
        <f t="shared" ref="Z3:Z15" si="3">I3-H3</f>
        <v>#VALUE!</v>
      </c>
      <c r="AA3" s="5" t="e">
        <f t="shared" ref="AA3:AA15" si="4">K3-J3</f>
        <v>#VALUE!</v>
      </c>
      <c r="AB3" s="5" t="e">
        <f t="shared" ref="AB3:AB15" si="5">M3-L3</f>
        <v>#VALUE!</v>
      </c>
      <c r="AC3" s="5" t="e">
        <f t="shared" ref="AC3:AC15" si="6">O3-N3</f>
        <v>#VALUE!</v>
      </c>
    </row>
    <row r="4" spans="1:29" x14ac:dyDescent="0.3">
      <c r="A4" s="6"/>
      <c r="B4" s="72">
        <v>46069</v>
      </c>
      <c r="C4" s="73"/>
      <c r="D4" s="72">
        <v>46070</v>
      </c>
      <c r="E4" s="73"/>
      <c r="F4" s="72">
        <v>46071</v>
      </c>
      <c r="G4" s="73"/>
      <c r="H4" s="72">
        <v>46072</v>
      </c>
      <c r="I4" s="73"/>
      <c r="J4" s="72">
        <v>46073</v>
      </c>
      <c r="K4" s="73"/>
      <c r="L4" s="72">
        <v>46074</v>
      </c>
      <c r="M4" s="73"/>
      <c r="N4" s="72">
        <v>46075</v>
      </c>
      <c r="O4" s="73"/>
      <c r="P4" s="7"/>
      <c r="W4" s="5">
        <f t="shared" si="0"/>
        <v>-46069</v>
      </c>
      <c r="X4" s="5">
        <f t="shared" si="1"/>
        <v>-46070</v>
      </c>
      <c r="Y4" s="5">
        <f t="shared" si="2"/>
        <v>-46071</v>
      </c>
      <c r="Z4" s="5">
        <f t="shared" si="3"/>
        <v>-46072</v>
      </c>
      <c r="AA4" s="5">
        <f t="shared" si="4"/>
        <v>-46073</v>
      </c>
      <c r="AB4" s="5">
        <f t="shared" si="5"/>
        <v>-46074</v>
      </c>
      <c r="AC4" s="5">
        <f t="shared" si="6"/>
        <v>-46075</v>
      </c>
    </row>
    <row r="5" spans="1:29" x14ac:dyDescent="0.3">
      <c r="A5" s="8" t="s">
        <v>9</v>
      </c>
      <c r="B5" s="72"/>
      <c r="C5" s="73"/>
      <c r="D5" s="72"/>
      <c r="E5" s="73"/>
      <c r="F5" s="72"/>
      <c r="G5" s="73"/>
      <c r="H5" s="72"/>
      <c r="I5" s="73"/>
      <c r="J5" s="72"/>
      <c r="K5" s="73"/>
      <c r="L5" s="72"/>
      <c r="M5" s="73"/>
      <c r="N5" s="72"/>
      <c r="O5" s="73"/>
      <c r="P5" s="7"/>
      <c r="W5" s="5">
        <f t="shared" si="0"/>
        <v>0</v>
      </c>
      <c r="X5" s="5">
        <f t="shared" si="1"/>
        <v>0</v>
      </c>
      <c r="Y5" s="5">
        <f t="shared" si="2"/>
        <v>0</v>
      </c>
      <c r="Z5" s="5">
        <f t="shared" si="3"/>
        <v>0</v>
      </c>
      <c r="AA5" s="5">
        <f t="shared" si="4"/>
        <v>0</v>
      </c>
      <c r="AB5" s="5">
        <f t="shared" si="5"/>
        <v>0</v>
      </c>
      <c r="AC5" s="5">
        <f t="shared" si="6"/>
        <v>0</v>
      </c>
    </row>
    <row r="6" spans="1:29" ht="14.25" customHeight="1" x14ac:dyDescent="0.3">
      <c r="A6" s="9" t="s">
        <v>10</v>
      </c>
      <c r="B6" s="10"/>
      <c r="C6" s="10"/>
      <c r="D6" s="11">
        <v>0.39583333333333331</v>
      </c>
      <c r="E6" s="11">
        <v>0.72916666666666663</v>
      </c>
      <c r="F6" s="11">
        <v>0.375</v>
      </c>
      <c r="G6" s="11">
        <v>0.72916666666666663</v>
      </c>
      <c r="H6" s="11">
        <v>0.41666666666666669</v>
      </c>
      <c r="I6" s="11">
        <v>0.72916666666666663</v>
      </c>
      <c r="J6" s="11">
        <v>0.375</v>
      </c>
      <c r="K6" s="11">
        <v>0.70833333333333337</v>
      </c>
      <c r="L6" s="11">
        <v>0.41666666666666669</v>
      </c>
      <c r="M6" s="11">
        <v>0.70833333333333337</v>
      </c>
      <c r="N6" s="10"/>
      <c r="O6" s="10"/>
      <c r="P6" s="12">
        <f>W6+X6+Y6+Z6+AA6+AB6+AC6</f>
        <v>1.6250000000000002</v>
      </c>
      <c r="W6" s="5">
        <f t="shared" si="0"/>
        <v>0</v>
      </c>
      <c r="X6" s="5">
        <f t="shared" si="1"/>
        <v>0.33333333333333331</v>
      </c>
      <c r="Y6" s="5">
        <f t="shared" si="2"/>
        <v>0.35416666666666663</v>
      </c>
      <c r="Z6" s="5">
        <f t="shared" si="3"/>
        <v>0.31249999999999994</v>
      </c>
      <c r="AA6" s="5">
        <f t="shared" si="4"/>
        <v>0.33333333333333337</v>
      </c>
      <c r="AB6" s="5">
        <f t="shared" si="5"/>
        <v>0.29166666666666669</v>
      </c>
      <c r="AC6" s="5">
        <f t="shared" si="6"/>
        <v>0</v>
      </c>
    </row>
    <row r="7" spans="1:29" x14ac:dyDescent="0.3">
      <c r="A7" s="13" t="s">
        <v>12</v>
      </c>
      <c r="B7" s="11">
        <v>0.41666666666666669</v>
      </c>
      <c r="C7" s="11">
        <v>0.70833333333333337</v>
      </c>
      <c r="D7" s="11">
        <v>0.41666666666666669</v>
      </c>
      <c r="E7" s="11">
        <v>0.70833333333333337</v>
      </c>
      <c r="F7" s="11">
        <v>0.41666666666666669</v>
      </c>
      <c r="G7" s="11">
        <v>0.70833333333333337</v>
      </c>
      <c r="H7" s="11">
        <v>0.41666666666666669</v>
      </c>
      <c r="I7" s="11">
        <v>0.70833333333333337</v>
      </c>
      <c r="J7" s="11">
        <v>0.41666666666666669</v>
      </c>
      <c r="K7" s="11">
        <v>0.70833333333333337</v>
      </c>
      <c r="L7" s="10"/>
      <c r="M7" s="10"/>
      <c r="N7" s="10"/>
      <c r="O7" s="10"/>
      <c r="P7" s="12">
        <f>W7+X7+Y7+Z7+AA7+AB7+AC7</f>
        <v>1.4583333333333335</v>
      </c>
      <c r="W7" s="5">
        <f t="shared" si="0"/>
        <v>0.29166666666666669</v>
      </c>
      <c r="X7" s="5">
        <f t="shared" si="1"/>
        <v>0.29166666666666669</v>
      </c>
      <c r="Y7" s="5">
        <f t="shared" si="2"/>
        <v>0.29166666666666669</v>
      </c>
      <c r="Z7" s="5">
        <f t="shared" si="3"/>
        <v>0.29166666666666669</v>
      </c>
      <c r="AA7" s="5">
        <f t="shared" si="4"/>
        <v>0.29166666666666669</v>
      </c>
      <c r="AB7" s="5">
        <f t="shared" si="5"/>
        <v>0</v>
      </c>
      <c r="AC7" s="5">
        <f t="shared" si="6"/>
        <v>0</v>
      </c>
    </row>
    <row r="8" spans="1:29" x14ac:dyDescent="0.3">
      <c r="A8" s="8" t="s">
        <v>28</v>
      </c>
      <c r="B8" s="14">
        <v>0.39583333333333331</v>
      </c>
      <c r="C8" s="14">
        <v>0.72916666666666663</v>
      </c>
      <c r="D8" s="14">
        <v>0.39583333333333331</v>
      </c>
      <c r="E8" s="14">
        <v>0.72916666666666663</v>
      </c>
      <c r="F8" s="14">
        <v>0.375</v>
      </c>
      <c r="G8" s="14">
        <v>0.70833333333333337</v>
      </c>
      <c r="H8" s="10"/>
      <c r="I8" s="10"/>
      <c r="J8" s="10"/>
      <c r="K8" s="10"/>
      <c r="L8" s="14">
        <v>0.39583333333333331</v>
      </c>
      <c r="M8" s="14">
        <v>0.70833333333333337</v>
      </c>
      <c r="N8" s="14">
        <v>0.39583333333333331</v>
      </c>
      <c r="O8" s="14">
        <v>0.70833333333333337</v>
      </c>
      <c r="P8" s="12">
        <f t="shared" ref="P8:P10" si="7">W8+X8+Y8+Z8+AA8+AB8+AC8</f>
        <v>1.625</v>
      </c>
      <c r="W8" s="5">
        <f t="shared" si="0"/>
        <v>0.33333333333333331</v>
      </c>
      <c r="X8" s="5">
        <f t="shared" si="1"/>
        <v>0.33333333333333331</v>
      </c>
      <c r="Y8" s="5">
        <f t="shared" si="2"/>
        <v>0.33333333333333337</v>
      </c>
      <c r="Z8" s="5">
        <f t="shared" si="3"/>
        <v>0</v>
      </c>
      <c r="AA8" s="5">
        <f t="shared" si="4"/>
        <v>0</v>
      </c>
      <c r="AB8" s="5">
        <f t="shared" si="5"/>
        <v>0.31250000000000006</v>
      </c>
      <c r="AC8" s="5">
        <f t="shared" si="6"/>
        <v>0.31250000000000006</v>
      </c>
    </row>
    <row r="9" spans="1:29" x14ac:dyDescent="0.3">
      <c r="A9" s="8" t="s">
        <v>32</v>
      </c>
      <c r="B9" s="10"/>
      <c r="C9" s="10"/>
      <c r="D9" s="14">
        <v>0.39583333333333331</v>
      </c>
      <c r="E9" s="14">
        <v>0.72916666666666663</v>
      </c>
      <c r="F9" s="14">
        <v>0.375</v>
      </c>
      <c r="G9" s="14">
        <v>0.72916666666666663</v>
      </c>
      <c r="H9" s="14">
        <v>0.41666666666666669</v>
      </c>
      <c r="I9" s="14">
        <v>0.72916666666666663</v>
      </c>
      <c r="J9" s="14">
        <v>0.375</v>
      </c>
      <c r="K9" s="14">
        <v>0.70833333333333337</v>
      </c>
      <c r="L9" s="14">
        <v>0.41666666666666669</v>
      </c>
      <c r="M9" s="14">
        <v>0.70833333333333337</v>
      </c>
      <c r="N9" s="10"/>
      <c r="O9" s="10"/>
      <c r="P9" s="12">
        <f t="shared" si="7"/>
        <v>1.6250000000000002</v>
      </c>
      <c r="W9" s="5">
        <f t="shared" si="0"/>
        <v>0</v>
      </c>
      <c r="X9" s="5">
        <f t="shared" si="1"/>
        <v>0.33333333333333331</v>
      </c>
      <c r="Y9" s="5">
        <f t="shared" si="2"/>
        <v>0.35416666666666663</v>
      </c>
      <c r="Z9" s="5">
        <f t="shared" si="3"/>
        <v>0.31249999999999994</v>
      </c>
      <c r="AA9" s="5">
        <f t="shared" si="4"/>
        <v>0.33333333333333337</v>
      </c>
      <c r="AB9" s="5">
        <f t="shared" si="5"/>
        <v>0.29166666666666669</v>
      </c>
      <c r="AC9" s="5">
        <f t="shared" si="6"/>
        <v>0</v>
      </c>
    </row>
    <row r="10" spans="1:29" x14ac:dyDescent="0.3">
      <c r="A10" s="8" t="s">
        <v>14</v>
      </c>
      <c r="B10" s="14">
        <v>0.39583333333333331</v>
      </c>
      <c r="C10" s="14">
        <v>0.70833333333333337</v>
      </c>
      <c r="D10" s="10"/>
      <c r="E10" s="10"/>
      <c r="F10" s="10"/>
      <c r="G10" s="10"/>
      <c r="H10" s="14">
        <v>0.39583333333333331</v>
      </c>
      <c r="I10" s="14">
        <v>0.72916666666666663</v>
      </c>
      <c r="J10" s="14">
        <v>0.375</v>
      </c>
      <c r="K10" s="14">
        <v>0.70833333333333337</v>
      </c>
      <c r="L10" s="14">
        <v>0.39583333333333331</v>
      </c>
      <c r="M10" s="14">
        <v>0.72916666666666663</v>
      </c>
      <c r="N10" s="14">
        <v>0.39583333333333331</v>
      </c>
      <c r="O10" s="14">
        <v>0.70833333333333337</v>
      </c>
      <c r="P10" s="12">
        <f t="shared" si="7"/>
        <v>1.625</v>
      </c>
      <c r="W10" s="5">
        <f t="shared" si="0"/>
        <v>0.31250000000000006</v>
      </c>
      <c r="X10" s="5">
        <f t="shared" si="1"/>
        <v>0</v>
      </c>
      <c r="Y10" s="5">
        <f t="shared" si="2"/>
        <v>0</v>
      </c>
      <c r="Z10" s="5">
        <f t="shared" si="3"/>
        <v>0.33333333333333331</v>
      </c>
      <c r="AA10" s="5">
        <f t="shared" si="4"/>
        <v>0.33333333333333337</v>
      </c>
      <c r="AB10" s="5">
        <f t="shared" si="5"/>
        <v>0.33333333333333331</v>
      </c>
      <c r="AC10" s="5">
        <f t="shared" si="6"/>
        <v>0.31250000000000006</v>
      </c>
    </row>
    <row r="11" spans="1:29" x14ac:dyDescent="0.3">
      <c r="A11" s="15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W11" s="5">
        <f t="shared" si="0"/>
        <v>0</v>
      </c>
      <c r="X11" s="5">
        <f t="shared" si="1"/>
        <v>0</v>
      </c>
      <c r="Y11" s="5">
        <f t="shared" si="2"/>
        <v>0</v>
      </c>
      <c r="Z11" s="5">
        <f t="shared" si="3"/>
        <v>0</v>
      </c>
      <c r="AA11" s="5">
        <f t="shared" si="4"/>
        <v>0</v>
      </c>
      <c r="AB11" s="5">
        <f t="shared" si="5"/>
        <v>0</v>
      </c>
      <c r="AC11" s="5">
        <f t="shared" si="6"/>
        <v>0</v>
      </c>
    </row>
    <row r="12" spans="1:29" x14ac:dyDescent="0.3">
      <c r="A12" s="9" t="s">
        <v>16</v>
      </c>
      <c r="B12" s="10"/>
      <c r="C12" s="10"/>
      <c r="D12" s="17">
        <v>0.70833333333333337</v>
      </c>
      <c r="E12" s="17">
        <v>1.0625</v>
      </c>
      <c r="F12" s="17">
        <v>0.72916666666666663</v>
      </c>
      <c r="G12" s="17">
        <v>1.0625</v>
      </c>
      <c r="H12" s="17">
        <v>0.70833333333333304</v>
      </c>
      <c r="I12" s="17">
        <v>1.0625</v>
      </c>
      <c r="J12" s="17">
        <v>0.70833333333333304</v>
      </c>
      <c r="K12" s="17">
        <v>1.0625</v>
      </c>
      <c r="L12" s="17">
        <v>0.70833333333333304</v>
      </c>
      <c r="M12" s="17">
        <v>1.0625</v>
      </c>
      <c r="N12" s="10"/>
      <c r="O12" s="10"/>
      <c r="P12" s="18">
        <f t="shared" ref="P12:P13" si="8">W12+X12+Y12+Z12+AA12+AB12+AC12</f>
        <v>1.7500000000000009</v>
      </c>
      <c r="W12" s="5">
        <f t="shared" si="0"/>
        <v>0</v>
      </c>
      <c r="X12" s="5">
        <f t="shared" si="1"/>
        <v>0.35416666666666663</v>
      </c>
      <c r="Y12" s="5">
        <f t="shared" si="2"/>
        <v>0.33333333333333337</v>
      </c>
      <c r="Z12" s="5">
        <f t="shared" si="3"/>
        <v>0.35416666666666696</v>
      </c>
      <c r="AA12" s="5">
        <f t="shared" si="4"/>
        <v>0.35416666666666696</v>
      </c>
      <c r="AB12" s="5">
        <f t="shared" si="5"/>
        <v>0.35416666666666696</v>
      </c>
      <c r="AC12" s="5">
        <f t="shared" si="6"/>
        <v>0</v>
      </c>
    </row>
    <row r="13" spans="1:29" x14ac:dyDescent="0.3">
      <c r="A13" s="9" t="s">
        <v>17</v>
      </c>
      <c r="B13" s="17">
        <v>0.70833333333333337</v>
      </c>
      <c r="C13" s="17">
        <v>1.0208333333333299</v>
      </c>
      <c r="D13" s="10"/>
      <c r="E13" s="10"/>
      <c r="F13" s="10"/>
      <c r="G13" s="10"/>
      <c r="H13" s="17">
        <v>0.70833333333333337</v>
      </c>
      <c r="I13" s="17">
        <v>1.0625</v>
      </c>
      <c r="J13" s="17">
        <v>0.70833333333333304</v>
      </c>
      <c r="K13" s="17">
        <v>1.0625</v>
      </c>
      <c r="L13" s="17">
        <v>0.6875</v>
      </c>
      <c r="M13" s="17">
        <v>1.0625</v>
      </c>
      <c r="N13" s="17">
        <v>0.66666666666666663</v>
      </c>
      <c r="O13" s="17">
        <v>1.0208333333333333</v>
      </c>
      <c r="P13" s="18">
        <f t="shared" si="8"/>
        <v>1.7499999999999969</v>
      </c>
      <c r="W13" s="5">
        <f t="shared" si="0"/>
        <v>0.31249999999999656</v>
      </c>
      <c r="X13" s="5">
        <f t="shared" si="1"/>
        <v>0</v>
      </c>
      <c r="Y13" s="5">
        <f t="shared" si="2"/>
        <v>0</v>
      </c>
      <c r="Z13" s="5">
        <f t="shared" si="3"/>
        <v>0.35416666666666663</v>
      </c>
      <c r="AA13" s="5">
        <f t="shared" si="4"/>
        <v>0.35416666666666696</v>
      </c>
      <c r="AB13" s="5">
        <f t="shared" si="5"/>
        <v>0.375</v>
      </c>
      <c r="AC13" s="5">
        <f t="shared" si="6"/>
        <v>0.35416666666666663</v>
      </c>
    </row>
    <row r="14" spans="1:29" x14ac:dyDescent="0.3">
      <c r="A14" s="9" t="s">
        <v>21</v>
      </c>
      <c r="B14" s="20"/>
      <c r="C14" s="20"/>
      <c r="D14" s="17">
        <v>0.70833333333333337</v>
      </c>
      <c r="E14" s="17">
        <v>1.0625</v>
      </c>
      <c r="F14" s="17">
        <v>0.70833333333333337</v>
      </c>
      <c r="G14" s="17">
        <v>1.0625</v>
      </c>
      <c r="H14" s="17">
        <v>0.72916666666666663</v>
      </c>
      <c r="I14" s="17">
        <v>1.0625</v>
      </c>
      <c r="J14" s="17">
        <v>0.70833333333333337</v>
      </c>
      <c r="K14" s="17">
        <v>1.0625</v>
      </c>
      <c r="L14" s="17">
        <v>0.70833333333333337</v>
      </c>
      <c r="M14" s="17">
        <v>1.0625</v>
      </c>
      <c r="N14" s="10"/>
      <c r="O14" s="10"/>
      <c r="P14" s="18">
        <f>W14+X14+Y14+Z14+AA14+AB14+AC14</f>
        <v>1.7499999999999996</v>
      </c>
      <c r="W14" s="5">
        <f t="shared" si="0"/>
        <v>0</v>
      </c>
      <c r="X14" s="5">
        <f t="shared" si="1"/>
        <v>0.35416666666666663</v>
      </c>
      <c r="Y14" s="5">
        <f t="shared" si="2"/>
        <v>0.35416666666666663</v>
      </c>
      <c r="Z14" s="5">
        <f t="shared" si="3"/>
        <v>0.33333333333333337</v>
      </c>
      <c r="AA14" s="5">
        <f t="shared" si="4"/>
        <v>0.35416666666666663</v>
      </c>
      <c r="AB14" s="5">
        <f t="shared" si="5"/>
        <v>0.35416666666666663</v>
      </c>
      <c r="AC14" s="5">
        <f t="shared" si="6"/>
        <v>0</v>
      </c>
    </row>
    <row r="15" spans="1:29" x14ac:dyDescent="0.3">
      <c r="A15" s="19" t="s">
        <v>18</v>
      </c>
      <c r="B15" s="17">
        <v>0.72916666666666663</v>
      </c>
      <c r="C15" s="17">
        <v>1.0208333333333299</v>
      </c>
      <c r="D15" s="17">
        <v>0.70833333333333337</v>
      </c>
      <c r="E15" s="17">
        <v>1.0625</v>
      </c>
      <c r="F15" s="17">
        <v>0.75</v>
      </c>
      <c r="G15" s="17">
        <v>1.0625</v>
      </c>
      <c r="H15" s="20"/>
      <c r="I15" s="20"/>
      <c r="J15" s="20"/>
      <c r="K15" s="20"/>
      <c r="L15" s="17">
        <v>0.70833333333333337</v>
      </c>
      <c r="M15" s="17">
        <v>1.0625</v>
      </c>
      <c r="N15" s="17">
        <v>0.70833333333333337</v>
      </c>
      <c r="O15" s="17">
        <v>1.0208333333333333</v>
      </c>
      <c r="P15" s="18">
        <f t="shared" ref="P15:P17" si="9">W15+X15+Y15+Z15+AA15+AB15+AC15</f>
        <v>1.6249999999999964</v>
      </c>
      <c r="W15" s="5">
        <f t="shared" si="0"/>
        <v>0.2916666666666633</v>
      </c>
      <c r="X15" s="5">
        <f t="shared" si="1"/>
        <v>0.35416666666666663</v>
      </c>
      <c r="Y15" s="5">
        <f t="shared" si="2"/>
        <v>0.3125</v>
      </c>
      <c r="Z15" s="5">
        <f t="shared" si="3"/>
        <v>0</v>
      </c>
      <c r="AA15" s="5">
        <f t="shared" si="4"/>
        <v>0</v>
      </c>
      <c r="AB15" s="5">
        <f t="shared" si="5"/>
        <v>0.35416666666666663</v>
      </c>
      <c r="AC15" s="5">
        <f t="shared" si="6"/>
        <v>0.31249999999999989</v>
      </c>
    </row>
    <row r="16" spans="1:29" x14ac:dyDescent="0.3">
      <c r="A16" s="8" t="s">
        <v>26</v>
      </c>
      <c r="B16" s="17">
        <v>0.72916666666666663</v>
      </c>
      <c r="C16" s="17">
        <v>1.0208333333333333</v>
      </c>
      <c r="D16" s="10"/>
      <c r="E16" s="10"/>
      <c r="F16" s="10"/>
      <c r="G16" s="10"/>
      <c r="H16" s="17">
        <v>0.75</v>
      </c>
      <c r="I16" s="17">
        <v>1.0625</v>
      </c>
      <c r="J16" s="17">
        <v>0.75</v>
      </c>
      <c r="K16" s="17">
        <v>1.0625</v>
      </c>
      <c r="L16" s="17">
        <v>0.70833333333333337</v>
      </c>
      <c r="M16" s="17">
        <v>1.0625</v>
      </c>
      <c r="N16" s="17">
        <v>0.66666666666666663</v>
      </c>
      <c r="O16" s="17">
        <v>1.0208333333333333</v>
      </c>
      <c r="P16" s="18">
        <f t="shared" si="9"/>
        <v>1.625</v>
      </c>
      <c r="W16" s="5">
        <f>C16-B16</f>
        <v>0.29166666666666663</v>
      </c>
      <c r="X16" s="5">
        <f>E16-D16</f>
        <v>0</v>
      </c>
      <c r="Y16" s="5">
        <f>G16-F16</f>
        <v>0</v>
      </c>
      <c r="Z16" s="5">
        <f>I16-H16</f>
        <v>0.3125</v>
      </c>
      <c r="AA16" s="5">
        <f>K16-J16</f>
        <v>0.3125</v>
      </c>
      <c r="AB16" s="5">
        <f>M16-L16</f>
        <v>0.35416666666666663</v>
      </c>
      <c r="AC16" s="5">
        <f>O16-N16</f>
        <v>0.35416666666666663</v>
      </c>
    </row>
    <row r="17" spans="1:29" ht="15" thickBot="1" x14ac:dyDescent="0.35">
      <c r="A17" s="8" t="s">
        <v>34</v>
      </c>
      <c r="B17" s="10"/>
      <c r="C17" s="10"/>
      <c r="D17" s="17">
        <v>0.75</v>
      </c>
      <c r="E17" s="17">
        <v>1.0625</v>
      </c>
      <c r="F17" s="17">
        <v>0.72916666666666663</v>
      </c>
      <c r="G17" s="17">
        <v>1.0625</v>
      </c>
      <c r="H17" s="17">
        <v>0.75</v>
      </c>
      <c r="I17" s="17">
        <v>1.0625</v>
      </c>
      <c r="J17" s="17">
        <v>0.75</v>
      </c>
      <c r="K17" s="17">
        <v>1.0625</v>
      </c>
      <c r="L17" s="17">
        <v>0.70833333333333337</v>
      </c>
      <c r="M17" s="17">
        <v>1.0625</v>
      </c>
      <c r="N17" s="10"/>
      <c r="O17" s="10"/>
      <c r="P17" s="18">
        <f t="shared" si="9"/>
        <v>1.625</v>
      </c>
      <c r="W17" s="5">
        <f>C17-B17</f>
        <v>0</v>
      </c>
      <c r="X17" s="5">
        <f>E17-D17</f>
        <v>0.3125</v>
      </c>
      <c r="Y17" s="5">
        <f>G17-F17</f>
        <v>0.33333333333333337</v>
      </c>
      <c r="Z17" s="5">
        <f>I17-H17</f>
        <v>0.3125</v>
      </c>
      <c r="AA17" s="5">
        <f>K17-J17</f>
        <v>0.3125</v>
      </c>
      <c r="AB17" s="5">
        <f>M17-L17</f>
        <v>0.35416666666666663</v>
      </c>
      <c r="AC17" s="5">
        <f>O17-N17</f>
        <v>0</v>
      </c>
    </row>
    <row r="18" spans="1:29" ht="15" thickBot="1" x14ac:dyDescent="0.35">
      <c r="A18" s="1" t="e" cm="1">
        <f t="array" ref="A18">+A18:PA18:P+A18:P363628A1:P2A1:P48</f>
        <v>#NAME?</v>
      </c>
      <c r="B18" s="67" t="s">
        <v>0</v>
      </c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8"/>
      <c r="W18" s="5" t="e">
        <f t="shared" ref="W18" si="10">C18-B18</f>
        <v>#VALUE!</v>
      </c>
      <c r="X18" s="5">
        <f t="shared" ref="X18" si="11">E18-D18</f>
        <v>0</v>
      </c>
      <c r="Y18" s="5">
        <f t="shared" ref="Y18" si="12">G18-F18</f>
        <v>0</v>
      </c>
      <c r="Z18" s="5">
        <f t="shared" ref="Z18" si="13">I18-H18</f>
        <v>0</v>
      </c>
      <c r="AA18" s="5">
        <f t="shared" ref="AA18" si="14">K18-J18</f>
        <v>0</v>
      </c>
      <c r="AB18" s="5">
        <f t="shared" ref="AB18" si="15">M18-L18</f>
        <v>0</v>
      </c>
      <c r="AC18" s="5">
        <f t="shared" ref="AC18" si="16">O18-N18</f>
        <v>0</v>
      </c>
    </row>
    <row r="19" spans="1:29" ht="15" thickBot="1" x14ac:dyDescent="0.35">
      <c r="A19" s="2"/>
      <c r="B19" s="67" t="s">
        <v>33</v>
      </c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8"/>
    </row>
    <row r="20" spans="1:29" x14ac:dyDescent="0.3">
      <c r="A20" s="3"/>
      <c r="B20" s="74" t="s">
        <v>1</v>
      </c>
      <c r="C20" s="75"/>
      <c r="D20" s="74" t="s">
        <v>2</v>
      </c>
      <c r="E20" s="75"/>
      <c r="F20" s="74" t="s">
        <v>3</v>
      </c>
      <c r="G20" s="75"/>
      <c r="H20" s="74" t="s">
        <v>4</v>
      </c>
      <c r="I20" s="75"/>
      <c r="J20" s="74" t="s">
        <v>5</v>
      </c>
      <c r="K20" s="75"/>
      <c r="L20" s="74" t="s">
        <v>6</v>
      </c>
      <c r="M20" s="75"/>
      <c r="N20" s="74" t="s">
        <v>7</v>
      </c>
      <c r="O20" s="75"/>
      <c r="P20" s="4" t="s">
        <v>8</v>
      </c>
    </row>
    <row r="21" spans="1:29" x14ac:dyDescent="0.3">
      <c r="A21" s="6"/>
      <c r="B21" s="72">
        <v>46069</v>
      </c>
      <c r="C21" s="73"/>
      <c r="D21" s="72">
        <v>46070</v>
      </c>
      <c r="E21" s="73"/>
      <c r="F21" s="72">
        <v>46071</v>
      </c>
      <c r="G21" s="73"/>
      <c r="H21" s="72">
        <v>46072</v>
      </c>
      <c r="I21" s="73"/>
      <c r="J21" s="72">
        <v>46073</v>
      </c>
      <c r="K21" s="73"/>
      <c r="L21" s="72">
        <v>46074</v>
      </c>
      <c r="M21" s="73"/>
      <c r="N21" s="72">
        <v>46075</v>
      </c>
      <c r="O21" s="73"/>
      <c r="P21" s="7"/>
    </row>
    <row r="22" spans="1:29" x14ac:dyDescent="0.3">
      <c r="A22" s="8" t="s">
        <v>9</v>
      </c>
      <c r="B22" s="72"/>
      <c r="C22" s="73"/>
      <c r="D22" s="72"/>
      <c r="E22" s="73"/>
      <c r="F22" s="72"/>
      <c r="G22" s="73"/>
      <c r="H22" s="72"/>
      <c r="I22" s="73"/>
      <c r="J22" s="72"/>
      <c r="K22" s="73"/>
      <c r="L22" s="72"/>
      <c r="M22" s="73"/>
      <c r="N22" s="72"/>
      <c r="O22" s="73"/>
      <c r="P22" s="7"/>
    </row>
    <row r="23" spans="1:29" x14ac:dyDescent="0.3">
      <c r="A23" s="9" t="s">
        <v>10</v>
      </c>
      <c r="B23" s="10"/>
      <c r="C23" s="10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0"/>
      <c r="O23" s="10"/>
      <c r="P23" s="12"/>
    </row>
    <row r="24" spans="1:29" x14ac:dyDescent="0.3">
      <c r="A24" s="13" t="s">
        <v>12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0"/>
      <c r="M24" s="10"/>
      <c r="N24" s="10"/>
      <c r="O24" s="10"/>
      <c r="P24" s="12"/>
    </row>
    <row r="25" spans="1:29" x14ac:dyDescent="0.3">
      <c r="A25" s="8" t="s">
        <v>28</v>
      </c>
      <c r="B25" s="14"/>
      <c r="C25" s="14"/>
      <c r="D25" s="14"/>
      <c r="E25" s="14"/>
      <c r="F25" s="14"/>
      <c r="G25" s="14"/>
      <c r="H25" s="10"/>
      <c r="I25" s="10"/>
      <c r="J25" s="10"/>
      <c r="K25" s="10"/>
      <c r="L25" s="14"/>
      <c r="M25" s="14"/>
      <c r="N25" s="14"/>
      <c r="O25" s="14"/>
      <c r="P25" s="12"/>
    </row>
    <row r="26" spans="1:29" x14ac:dyDescent="0.3">
      <c r="A26" s="8" t="s">
        <v>32</v>
      </c>
      <c r="B26" s="10"/>
      <c r="C26" s="10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0"/>
      <c r="O26" s="10"/>
      <c r="P26" s="12"/>
    </row>
    <row r="27" spans="1:29" x14ac:dyDescent="0.3">
      <c r="A27" s="8" t="s">
        <v>14</v>
      </c>
      <c r="B27" s="14"/>
      <c r="C27" s="14"/>
      <c r="D27" s="10"/>
      <c r="E27" s="10"/>
      <c r="F27" s="10"/>
      <c r="G27" s="10"/>
      <c r="H27" s="14"/>
      <c r="I27" s="14"/>
      <c r="J27" s="14"/>
      <c r="K27" s="14"/>
      <c r="L27" s="14"/>
      <c r="M27" s="14"/>
      <c r="N27" s="14"/>
      <c r="O27" s="14"/>
      <c r="P27" s="12"/>
    </row>
    <row r="28" spans="1:29" x14ac:dyDescent="0.3">
      <c r="A28" s="15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</row>
    <row r="29" spans="1:29" x14ac:dyDescent="0.3">
      <c r="A29" s="9" t="s">
        <v>16</v>
      </c>
      <c r="B29" s="10"/>
      <c r="C29" s="10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0"/>
      <c r="O29" s="10"/>
      <c r="P29" s="18"/>
    </row>
    <row r="30" spans="1:29" x14ac:dyDescent="0.3">
      <c r="A30" s="9" t="s">
        <v>17</v>
      </c>
      <c r="B30" s="17"/>
      <c r="C30" s="17"/>
      <c r="D30" s="10"/>
      <c r="E30" s="10"/>
      <c r="F30" s="10"/>
      <c r="G30" s="10"/>
      <c r="H30" s="17"/>
      <c r="I30" s="17"/>
      <c r="J30" s="17"/>
      <c r="K30" s="17"/>
      <c r="L30" s="17"/>
      <c r="M30" s="17"/>
      <c r="N30" s="17"/>
      <c r="O30" s="17"/>
      <c r="P30" s="18"/>
    </row>
    <row r="31" spans="1:29" x14ac:dyDescent="0.3">
      <c r="A31" s="9" t="s">
        <v>21</v>
      </c>
      <c r="B31" s="20"/>
      <c r="C31" s="20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0"/>
      <c r="O31" s="10"/>
      <c r="P31" s="18"/>
    </row>
    <row r="32" spans="1:29" x14ac:dyDescent="0.3">
      <c r="A32" s="19" t="s">
        <v>18</v>
      </c>
      <c r="B32" s="17"/>
      <c r="C32" s="17"/>
      <c r="D32" s="17"/>
      <c r="E32" s="17"/>
      <c r="F32" s="17"/>
      <c r="G32" s="17"/>
      <c r="H32" s="20"/>
      <c r="I32" s="20"/>
      <c r="J32" s="20"/>
      <c r="K32" s="20"/>
      <c r="L32" s="17"/>
      <c r="M32" s="17"/>
      <c r="N32" s="17"/>
      <c r="O32" s="17"/>
      <c r="P32" s="18"/>
    </row>
    <row r="33" spans="1:16" x14ac:dyDescent="0.3">
      <c r="A33" s="8" t="s">
        <v>26</v>
      </c>
      <c r="B33" s="17"/>
      <c r="C33" s="17"/>
      <c r="D33" s="10"/>
      <c r="E33" s="10"/>
      <c r="F33" s="10"/>
      <c r="G33" s="10"/>
      <c r="H33" s="17"/>
      <c r="I33" s="17"/>
      <c r="J33" s="17"/>
      <c r="K33" s="17"/>
      <c r="L33" s="17"/>
      <c r="M33" s="17"/>
      <c r="N33" s="17"/>
      <c r="O33" s="17"/>
      <c r="P33" s="18"/>
    </row>
    <row r="34" spans="1:16" x14ac:dyDescent="0.3">
      <c r="A34" s="19" t="s">
        <v>34</v>
      </c>
      <c r="B34" s="10"/>
      <c r="C34" s="10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0"/>
      <c r="O34" s="10"/>
      <c r="P34" s="18"/>
    </row>
  </sheetData>
  <mergeCells count="46">
    <mergeCell ref="B1:P1"/>
    <mergeCell ref="B2:P2"/>
    <mergeCell ref="B3:C3"/>
    <mergeCell ref="D3:E3"/>
    <mergeCell ref="F3:G3"/>
    <mergeCell ref="H3:I3"/>
    <mergeCell ref="J3:K3"/>
    <mergeCell ref="L3:M3"/>
    <mergeCell ref="N3:O3"/>
    <mergeCell ref="N4:O4"/>
    <mergeCell ref="B5:C5"/>
    <mergeCell ref="D5:E5"/>
    <mergeCell ref="F5:G5"/>
    <mergeCell ref="H5:I5"/>
    <mergeCell ref="J5:K5"/>
    <mergeCell ref="L5:M5"/>
    <mergeCell ref="N5:O5"/>
    <mergeCell ref="B4:C4"/>
    <mergeCell ref="D4:E4"/>
    <mergeCell ref="F4:G4"/>
    <mergeCell ref="H4:I4"/>
    <mergeCell ref="J4:K4"/>
    <mergeCell ref="L4:M4"/>
    <mergeCell ref="B18:P18"/>
    <mergeCell ref="B19:P19"/>
    <mergeCell ref="B20:C20"/>
    <mergeCell ref="D20:E20"/>
    <mergeCell ref="F20:G20"/>
    <mergeCell ref="H20:I20"/>
    <mergeCell ref="J20:K20"/>
    <mergeCell ref="L20:M20"/>
    <mergeCell ref="N20:O20"/>
    <mergeCell ref="N21:O21"/>
    <mergeCell ref="B22:C22"/>
    <mergeCell ref="D22:E22"/>
    <mergeCell ref="F22:G22"/>
    <mergeCell ref="H22:I22"/>
    <mergeCell ref="J22:K22"/>
    <mergeCell ref="L22:M22"/>
    <mergeCell ref="N22:O22"/>
    <mergeCell ref="B21:C21"/>
    <mergeCell ref="D21:E21"/>
    <mergeCell ref="F21:G21"/>
    <mergeCell ref="H21:I21"/>
    <mergeCell ref="J21:K21"/>
    <mergeCell ref="L21:M2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3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087C2-EB56-4388-98AB-D6B3AD9DD0B3}">
  <sheetPr>
    <pageSetUpPr fitToPage="1"/>
  </sheetPr>
  <dimension ref="A1:AC34"/>
  <sheetViews>
    <sheetView workbookViewId="0">
      <selection activeCell="D17" sqref="D17:G17"/>
    </sheetView>
  </sheetViews>
  <sheetFormatPr baseColWidth="10" defaultRowHeight="14.4" x14ac:dyDescent="0.3"/>
  <sheetData>
    <row r="1" spans="1:29" ht="15" thickBot="1" x14ac:dyDescent="0.35">
      <c r="A1" s="1"/>
      <c r="B1" s="67" t="s">
        <v>0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8"/>
    </row>
    <row r="2" spans="1:29" ht="15" thickBot="1" x14ac:dyDescent="0.35">
      <c r="A2" s="2"/>
      <c r="B2" s="67" t="s">
        <v>35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8"/>
    </row>
    <row r="3" spans="1:29" x14ac:dyDescent="0.3">
      <c r="A3" s="3"/>
      <c r="B3" s="74" t="s">
        <v>1</v>
      </c>
      <c r="C3" s="75"/>
      <c r="D3" s="74" t="s">
        <v>2</v>
      </c>
      <c r="E3" s="75"/>
      <c r="F3" s="74" t="s">
        <v>3</v>
      </c>
      <c r="G3" s="75"/>
      <c r="H3" s="74" t="s">
        <v>4</v>
      </c>
      <c r="I3" s="75"/>
      <c r="J3" s="74" t="s">
        <v>5</v>
      </c>
      <c r="K3" s="75"/>
      <c r="L3" s="74" t="s">
        <v>6</v>
      </c>
      <c r="M3" s="75"/>
      <c r="N3" s="74" t="s">
        <v>7</v>
      </c>
      <c r="O3" s="75"/>
      <c r="P3" s="4" t="s">
        <v>8</v>
      </c>
      <c r="W3" s="5" t="e">
        <f t="shared" ref="W3:W15" si="0">C3-B3</f>
        <v>#VALUE!</v>
      </c>
      <c r="X3" s="5" t="e">
        <f t="shared" ref="X3:X15" si="1">E3-D3</f>
        <v>#VALUE!</v>
      </c>
      <c r="Y3" s="5" t="e">
        <f t="shared" ref="Y3:Y15" si="2">G3-F3</f>
        <v>#VALUE!</v>
      </c>
      <c r="Z3" s="5" t="e">
        <f t="shared" ref="Z3:Z15" si="3">I3-H3</f>
        <v>#VALUE!</v>
      </c>
      <c r="AA3" s="5" t="e">
        <f t="shared" ref="AA3:AA15" si="4">K3-J3</f>
        <v>#VALUE!</v>
      </c>
      <c r="AB3" s="5" t="e">
        <f t="shared" ref="AB3:AB15" si="5">M3-L3</f>
        <v>#VALUE!</v>
      </c>
      <c r="AC3" s="5" t="e">
        <f t="shared" ref="AC3:AC15" si="6">O3-N3</f>
        <v>#VALUE!</v>
      </c>
    </row>
    <row r="4" spans="1:29" x14ac:dyDescent="0.3">
      <c r="A4" s="6"/>
      <c r="B4" s="72">
        <v>46076</v>
      </c>
      <c r="C4" s="73"/>
      <c r="D4" s="72">
        <v>46077</v>
      </c>
      <c r="E4" s="73"/>
      <c r="F4" s="72">
        <v>46078</v>
      </c>
      <c r="G4" s="73"/>
      <c r="H4" s="72">
        <v>46079</v>
      </c>
      <c r="I4" s="73"/>
      <c r="J4" s="72">
        <v>46080</v>
      </c>
      <c r="K4" s="73"/>
      <c r="L4" s="72">
        <v>46081</v>
      </c>
      <c r="M4" s="73"/>
      <c r="N4" s="72">
        <v>46082</v>
      </c>
      <c r="O4" s="73"/>
      <c r="P4" s="7"/>
      <c r="W4" s="5">
        <f t="shared" si="0"/>
        <v>-46076</v>
      </c>
      <c r="X4" s="5">
        <f t="shared" si="1"/>
        <v>-46077</v>
      </c>
      <c r="Y4" s="5">
        <f t="shared" si="2"/>
        <v>-46078</v>
      </c>
      <c r="Z4" s="5">
        <f t="shared" si="3"/>
        <v>-46079</v>
      </c>
      <c r="AA4" s="5">
        <f t="shared" si="4"/>
        <v>-46080</v>
      </c>
      <c r="AB4" s="5">
        <f t="shared" si="5"/>
        <v>-46081</v>
      </c>
      <c r="AC4" s="5">
        <f t="shared" si="6"/>
        <v>-46082</v>
      </c>
    </row>
    <row r="5" spans="1:29" x14ac:dyDescent="0.3">
      <c r="A5" s="8" t="s">
        <v>9</v>
      </c>
      <c r="B5" s="72"/>
      <c r="C5" s="73"/>
      <c r="D5" s="72"/>
      <c r="E5" s="73"/>
      <c r="F5" s="72"/>
      <c r="G5" s="73"/>
      <c r="H5" s="72"/>
      <c r="I5" s="73"/>
      <c r="J5" s="72"/>
      <c r="K5" s="73"/>
      <c r="L5" s="72"/>
      <c r="M5" s="73"/>
      <c r="N5" s="72"/>
      <c r="O5" s="73"/>
      <c r="P5" s="7"/>
      <c r="W5" s="5">
        <f t="shared" si="0"/>
        <v>0</v>
      </c>
      <c r="X5" s="5">
        <f t="shared" si="1"/>
        <v>0</v>
      </c>
      <c r="Y5" s="5">
        <f t="shared" si="2"/>
        <v>0</v>
      </c>
      <c r="Z5" s="5">
        <f t="shared" si="3"/>
        <v>0</v>
      </c>
      <c r="AA5" s="5">
        <f t="shared" si="4"/>
        <v>0</v>
      </c>
      <c r="AB5" s="5">
        <f t="shared" si="5"/>
        <v>0</v>
      </c>
      <c r="AC5" s="5">
        <f t="shared" si="6"/>
        <v>0</v>
      </c>
    </row>
    <row r="6" spans="1:29" ht="14.25" customHeight="1" x14ac:dyDescent="0.3">
      <c r="A6" s="9" t="s">
        <v>10</v>
      </c>
      <c r="B6" s="10"/>
      <c r="C6" s="10"/>
      <c r="D6" s="11">
        <v>0.39583333333333331</v>
      </c>
      <c r="E6" s="11">
        <v>0.72916666666666663</v>
      </c>
      <c r="F6" s="11">
        <v>0.375</v>
      </c>
      <c r="G6" s="11">
        <v>0.72916666666666663</v>
      </c>
      <c r="H6" s="11">
        <v>0.41666666666666669</v>
      </c>
      <c r="I6" s="11">
        <v>0.72916666666666663</v>
      </c>
      <c r="J6" s="11">
        <v>0.375</v>
      </c>
      <c r="K6" s="11">
        <v>0.70833333333333337</v>
      </c>
      <c r="L6" s="11">
        <v>0.41666666666666669</v>
      </c>
      <c r="M6" s="11">
        <v>0.70833333333333337</v>
      </c>
      <c r="N6" s="10"/>
      <c r="O6" s="10"/>
      <c r="P6" s="12">
        <f>W6+X6+Y6+Z6+AA6+AB6+AC6</f>
        <v>1.6250000000000002</v>
      </c>
      <c r="W6" s="5">
        <f t="shared" si="0"/>
        <v>0</v>
      </c>
      <c r="X6" s="5">
        <f t="shared" si="1"/>
        <v>0.33333333333333331</v>
      </c>
      <c r="Y6" s="5">
        <f t="shared" si="2"/>
        <v>0.35416666666666663</v>
      </c>
      <c r="Z6" s="5">
        <f t="shared" si="3"/>
        <v>0.31249999999999994</v>
      </c>
      <c r="AA6" s="5">
        <f t="shared" si="4"/>
        <v>0.33333333333333337</v>
      </c>
      <c r="AB6" s="5">
        <f t="shared" si="5"/>
        <v>0.29166666666666669</v>
      </c>
      <c r="AC6" s="5">
        <f t="shared" si="6"/>
        <v>0</v>
      </c>
    </row>
    <row r="7" spans="1:29" x14ac:dyDescent="0.3">
      <c r="A7" s="13" t="s">
        <v>12</v>
      </c>
      <c r="B7" s="21">
        <v>0.41666666666666669</v>
      </c>
      <c r="C7" s="21">
        <v>0.70833333333333337</v>
      </c>
      <c r="D7" s="21">
        <v>0.41666666666666669</v>
      </c>
      <c r="E7" s="21">
        <v>0.70833333333333337</v>
      </c>
      <c r="F7" s="21">
        <v>0.41666666666666669</v>
      </c>
      <c r="G7" s="21">
        <v>0.70833333333333337</v>
      </c>
      <c r="H7" s="21">
        <v>0.41666666666666669</v>
      </c>
      <c r="I7" s="21">
        <v>0.70833333333333337</v>
      </c>
      <c r="J7" s="21">
        <v>0.41666666666666669</v>
      </c>
      <c r="K7" s="21">
        <v>0.70833333333333337</v>
      </c>
      <c r="L7" s="10"/>
      <c r="M7" s="10"/>
      <c r="N7" s="10"/>
      <c r="O7" s="10"/>
      <c r="P7" s="12">
        <f>W7+X7+Y7+Z7+AA7+AB7+AC7</f>
        <v>1.4583333333333335</v>
      </c>
      <c r="W7" s="5">
        <f t="shared" si="0"/>
        <v>0.29166666666666669</v>
      </c>
      <c r="X7" s="5">
        <f t="shared" si="1"/>
        <v>0.29166666666666669</v>
      </c>
      <c r="Y7" s="5">
        <f t="shared" si="2"/>
        <v>0.29166666666666669</v>
      </c>
      <c r="Z7" s="5">
        <f t="shared" si="3"/>
        <v>0.29166666666666669</v>
      </c>
      <c r="AA7" s="5">
        <f t="shared" si="4"/>
        <v>0.29166666666666669</v>
      </c>
      <c r="AB7" s="5">
        <f t="shared" si="5"/>
        <v>0</v>
      </c>
      <c r="AC7" s="5">
        <f t="shared" si="6"/>
        <v>0</v>
      </c>
    </row>
    <row r="8" spans="1:29" x14ac:dyDescent="0.3">
      <c r="A8" s="8" t="s">
        <v>28</v>
      </c>
      <c r="B8" s="14">
        <v>0.39583333333333331</v>
      </c>
      <c r="C8" s="14">
        <v>0.72916666666666663</v>
      </c>
      <c r="D8" s="14">
        <v>0.39583333333333331</v>
      </c>
      <c r="E8" s="14">
        <v>0.72916666666666663</v>
      </c>
      <c r="F8" s="14">
        <v>0.375</v>
      </c>
      <c r="G8" s="14">
        <v>0.70833333333333337</v>
      </c>
      <c r="H8" s="10"/>
      <c r="I8" s="10"/>
      <c r="J8" s="10"/>
      <c r="K8" s="10"/>
      <c r="L8" s="14">
        <v>0.39583333333333331</v>
      </c>
      <c r="M8" s="14">
        <v>0.70833333333333337</v>
      </c>
      <c r="N8" s="14">
        <v>0.39583333333333331</v>
      </c>
      <c r="O8" s="14">
        <v>0.70833333333333337</v>
      </c>
      <c r="P8" s="12">
        <f t="shared" ref="P8:P10" si="7">W8+X8+Y8+Z8+AA8+AB8+AC8</f>
        <v>1.625</v>
      </c>
      <c r="W8" s="5">
        <f t="shared" si="0"/>
        <v>0.33333333333333331</v>
      </c>
      <c r="X8" s="5">
        <f t="shared" si="1"/>
        <v>0.33333333333333331</v>
      </c>
      <c r="Y8" s="5">
        <f t="shared" si="2"/>
        <v>0.33333333333333337</v>
      </c>
      <c r="Z8" s="5">
        <f t="shared" si="3"/>
        <v>0</v>
      </c>
      <c r="AA8" s="5">
        <f t="shared" si="4"/>
        <v>0</v>
      </c>
      <c r="AB8" s="5">
        <f t="shared" si="5"/>
        <v>0.31250000000000006</v>
      </c>
      <c r="AC8" s="5">
        <f t="shared" si="6"/>
        <v>0.31250000000000006</v>
      </c>
    </row>
    <row r="9" spans="1:29" x14ac:dyDescent="0.3">
      <c r="A9" s="8" t="s">
        <v>32</v>
      </c>
      <c r="B9" s="10"/>
      <c r="C9" s="10"/>
      <c r="D9" s="14">
        <v>0.39583333333333331</v>
      </c>
      <c r="E9" s="14">
        <v>0.72916666666666663</v>
      </c>
      <c r="F9" s="14">
        <v>0.375</v>
      </c>
      <c r="G9" s="14">
        <v>0.72916666666666663</v>
      </c>
      <c r="H9" s="14">
        <v>0.41666666666666669</v>
      </c>
      <c r="I9" s="14">
        <v>0.72916666666666663</v>
      </c>
      <c r="J9" s="14">
        <v>0.375</v>
      </c>
      <c r="K9" s="14">
        <v>0.70833333333333337</v>
      </c>
      <c r="L9" s="14">
        <v>0.41666666666666669</v>
      </c>
      <c r="M9" s="14">
        <v>0.70833333333333337</v>
      </c>
      <c r="N9" s="10"/>
      <c r="O9" s="10"/>
      <c r="P9" s="12">
        <f t="shared" si="7"/>
        <v>1.6250000000000002</v>
      </c>
      <c r="W9" s="5">
        <f t="shared" si="0"/>
        <v>0</v>
      </c>
      <c r="X9" s="5">
        <f t="shared" si="1"/>
        <v>0.33333333333333331</v>
      </c>
      <c r="Y9" s="5">
        <f t="shared" si="2"/>
        <v>0.35416666666666663</v>
      </c>
      <c r="Z9" s="5">
        <f t="shared" si="3"/>
        <v>0.31249999999999994</v>
      </c>
      <c r="AA9" s="5">
        <f t="shared" si="4"/>
        <v>0.33333333333333337</v>
      </c>
      <c r="AB9" s="5">
        <f t="shared" si="5"/>
        <v>0.29166666666666669</v>
      </c>
      <c r="AC9" s="5">
        <f t="shared" si="6"/>
        <v>0</v>
      </c>
    </row>
    <row r="10" spans="1:29" x14ac:dyDescent="0.3">
      <c r="A10" s="8" t="s">
        <v>14</v>
      </c>
      <c r="B10" s="14">
        <v>0.39583333333333331</v>
      </c>
      <c r="C10" s="14">
        <v>0.70833333333333337</v>
      </c>
      <c r="D10" s="10"/>
      <c r="E10" s="10"/>
      <c r="F10" s="10"/>
      <c r="G10" s="10"/>
      <c r="H10" s="14">
        <v>0.39583333333333331</v>
      </c>
      <c r="I10" s="14">
        <v>0.72916666666666663</v>
      </c>
      <c r="J10" s="14">
        <v>0.375</v>
      </c>
      <c r="K10" s="14">
        <v>0.70833333333333337</v>
      </c>
      <c r="L10" s="14">
        <v>0.39583333333333331</v>
      </c>
      <c r="M10" s="14">
        <v>0.72916666666666663</v>
      </c>
      <c r="N10" s="14">
        <v>0.39583333333333331</v>
      </c>
      <c r="O10" s="14">
        <v>0.70833333333333337</v>
      </c>
      <c r="P10" s="12">
        <f t="shared" si="7"/>
        <v>1.625</v>
      </c>
      <c r="W10" s="5">
        <f t="shared" si="0"/>
        <v>0.31250000000000006</v>
      </c>
      <c r="X10" s="5">
        <f t="shared" si="1"/>
        <v>0</v>
      </c>
      <c r="Y10" s="5">
        <f t="shared" si="2"/>
        <v>0</v>
      </c>
      <c r="Z10" s="5">
        <f t="shared" si="3"/>
        <v>0.33333333333333331</v>
      </c>
      <c r="AA10" s="5">
        <f t="shared" si="4"/>
        <v>0.33333333333333337</v>
      </c>
      <c r="AB10" s="5">
        <f t="shared" si="5"/>
        <v>0.33333333333333331</v>
      </c>
      <c r="AC10" s="5">
        <f t="shared" si="6"/>
        <v>0.31250000000000006</v>
      </c>
    </row>
    <row r="11" spans="1:29" x14ac:dyDescent="0.3">
      <c r="A11" s="15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W11" s="5">
        <f t="shared" si="0"/>
        <v>0</v>
      </c>
      <c r="X11" s="5">
        <f t="shared" si="1"/>
        <v>0</v>
      </c>
      <c r="Y11" s="5">
        <f t="shared" si="2"/>
        <v>0</v>
      </c>
      <c r="Z11" s="5">
        <f t="shared" si="3"/>
        <v>0</v>
      </c>
      <c r="AA11" s="5">
        <f t="shared" si="4"/>
        <v>0</v>
      </c>
      <c r="AB11" s="5">
        <f t="shared" si="5"/>
        <v>0</v>
      </c>
      <c r="AC11" s="5">
        <f t="shared" si="6"/>
        <v>0</v>
      </c>
    </row>
    <row r="12" spans="1:29" x14ac:dyDescent="0.3">
      <c r="A12" s="9" t="s">
        <v>16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8">
        <f t="shared" ref="P12:P13" si="8">W12+X12+Y12+Z12+AA12+AB12+AC12</f>
        <v>0</v>
      </c>
      <c r="W12" s="5">
        <f t="shared" si="0"/>
        <v>0</v>
      </c>
      <c r="X12" s="5">
        <f t="shared" si="1"/>
        <v>0</v>
      </c>
      <c r="Y12" s="5">
        <f t="shared" si="2"/>
        <v>0</v>
      </c>
      <c r="Z12" s="5">
        <f t="shared" si="3"/>
        <v>0</v>
      </c>
      <c r="AA12" s="5">
        <f t="shared" si="4"/>
        <v>0</v>
      </c>
      <c r="AB12" s="5">
        <f t="shared" si="5"/>
        <v>0</v>
      </c>
      <c r="AC12" s="5">
        <f t="shared" si="6"/>
        <v>0</v>
      </c>
    </row>
    <row r="13" spans="1:29" x14ac:dyDescent="0.3">
      <c r="A13" s="9" t="s">
        <v>17</v>
      </c>
      <c r="B13" s="17">
        <v>0.70833333333333337</v>
      </c>
      <c r="C13" s="17">
        <v>1.0208333333333299</v>
      </c>
      <c r="D13" s="10"/>
      <c r="E13" s="10"/>
      <c r="F13" s="10"/>
      <c r="G13" s="10"/>
      <c r="H13" s="17">
        <v>0.70833333333333337</v>
      </c>
      <c r="I13" s="17">
        <v>1.0625</v>
      </c>
      <c r="J13" s="17">
        <v>0.70833333333333304</v>
      </c>
      <c r="K13" s="17">
        <v>1.0625</v>
      </c>
      <c r="L13" s="17">
        <v>0.6875</v>
      </c>
      <c r="M13" s="17">
        <v>1.0625</v>
      </c>
      <c r="N13" s="17">
        <v>0.66666666666666663</v>
      </c>
      <c r="O13" s="17">
        <v>1.0208333333333333</v>
      </c>
      <c r="P13" s="18">
        <f t="shared" si="8"/>
        <v>1.7499999999999969</v>
      </c>
      <c r="W13" s="5">
        <f t="shared" si="0"/>
        <v>0.31249999999999656</v>
      </c>
      <c r="X13" s="5">
        <f t="shared" si="1"/>
        <v>0</v>
      </c>
      <c r="Y13" s="5">
        <f t="shared" si="2"/>
        <v>0</v>
      </c>
      <c r="Z13" s="5">
        <f t="shared" si="3"/>
        <v>0.35416666666666663</v>
      </c>
      <c r="AA13" s="5">
        <f t="shared" si="4"/>
        <v>0.35416666666666696</v>
      </c>
      <c r="AB13" s="5">
        <f t="shared" si="5"/>
        <v>0.375</v>
      </c>
      <c r="AC13" s="5">
        <f t="shared" si="6"/>
        <v>0.35416666666666663</v>
      </c>
    </row>
    <row r="14" spans="1:29" x14ac:dyDescent="0.3">
      <c r="A14" s="9" t="s">
        <v>21</v>
      </c>
      <c r="B14" s="20"/>
      <c r="C14" s="20"/>
      <c r="D14" s="17">
        <v>0.70833333333333337</v>
      </c>
      <c r="E14" s="17">
        <v>1.0625</v>
      </c>
      <c r="F14" s="17">
        <v>0.70833333333333337</v>
      </c>
      <c r="G14" s="17">
        <v>1.0625</v>
      </c>
      <c r="H14" s="17">
        <v>0.72916666666666663</v>
      </c>
      <c r="I14" s="17">
        <v>1.0625</v>
      </c>
      <c r="J14" s="17">
        <v>0.70833333333333337</v>
      </c>
      <c r="K14" s="17">
        <v>1.0625</v>
      </c>
      <c r="L14" s="17">
        <v>0.70833333333333337</v>
      </c>
      <c r="M14" s="17">
        <v>1.0625</v>
      </c>
      <c r="N14" s="10"/>
      <c r="O14" s="10"/>
      <c r="P14" s="18">
        <f>W14+X14+Y14+Z14+AA14+AB14+AC14</f>
        <v>1.7499999999999996</v>
      </c>
      <c r="W14" s="5">
        <f t="shared" si="0"/>
        <v>0</v>
      </c>
      <c r="X14" s="5">
        <f t="shared" si="1"/>
        <v>0.35416666666666663</v>
      </c>
      <c r="Y14" s="5">
        <f t="shared" si="2"/>
        <v>0.35416666666666663</v>
      </c>
      <c r="Z14" s="5">
        <f t="shared" si="3"/>
        <v>0.33333333333333337</v>
      </c>
      <c r="AA14" s="5">
        <f t="shared" si="4"/>
        <v>0.35416666666666663</v>
      </c>
      <c r="AB14" s="5">
        <f t="shared" si="5"/>
        <v>0.35416666666666663</v>
      </c>
      <c r="AC14" s="5">
        <f t="shared" si="6"/>
        <v>0</v>
      </c>
    </row>
    <row r="15" spans="1:29" x14ac:dyDescent="0.3">
      <c r="A15" s="19" t="s">
        <v>18</v>
      </c>
      <c r="B15" s="17">
        <v>0.72916666666666663</v>
      </c>
      <c r="C15" s="17">
        <v>1.0208333333333299</v>
      </c>
      <c r="D15" s="17">
        <v>0.70833333333333337</v>
      </c>
      <c r="E15" s="17">
        <v>1.0625</v>
      </c>
      <c r="F15" s="17">
        <v>0.75</v>
      </c>
      <c r="G15" s="17">
        <v>1.0625</v>
      </c>
      <c r="H15" s="20"/>
      <c r="I15" s="20"/>
      <c r="J15" s="20"/>
      <c r="K15" s="20"/>
      <c r="L15" s="17">
        <v>0.70833333333333337</v>
      </c>
      <c r="M15" s="17">
        <v>1.0625</v>
      </c>
      <c r="N15" s="17">
        <v>0.70833333333333337</v>
      </c>
      <c r="O15" s="17">
        <v>1.0208333333333333</v>
      </c>
      <c r="P15" s="18">
        <f t="shared" ref="P15:P17" si="9">W15+X15+Y15+Z15+AA15+AB15+AC15</f>
        <v>1.6249999999999964</v>
      </c>
      <c r="W15" s="5">
        <f t="shared" si="0"/>
        <v>0.2916666666666633</v>
      </c>
      <c r="X15" s="5">
        <f t="shared" si="1"/>
        <v>0.35416666666666663</v>
      </c>
      <c r="Y15" s="5">
        <f t="shared" si="2"/>
        <v>0.3125</v>
      </c>
      <c r="Z15" s="5">
        <f t="shared" si="3"/>
        <v>0</v>
      </c>
      <c r="AA15" s="5">
        <f t="shared" si="4"/>
        <v>0</v>
      </c>
      <c r="AB15" s="5">
        <f t="shared" si="5"/>
        <v>0.35416666666666663</v>
      </c>
      <c r="AC15" s="5">
        <f t="shared" si="6"/>
        <v>0.31249999999999989</v>
      </c>
    </row>
    <row r="16" spans="1:29" x14ac:dyDescent="0.3">
      <c r="A16" s="8" t="s">
        <v>26</v>
      </c>
      <c r="B16" s="17">
        <v>0.72916666666666663</v>
      </c>
      <c r="C16" s="17">
        <v>1.0208333333333333</v>
      </c>
      <c r="D16" s="10"/>
      <c r="E16" s="10"/>
      <c r="F16" s="10"/>
      <c r="G16" s="10"/>
      <c r="H16" s="17">
        <v>0.75</v>
      </c>
      <c r="I16" s="17">
        <v>1.0625</v>
      </c>
      <c r="J16" s="17">
        <v>0.75</v>
      </c>
      <c r="K16" s="17">
        <v>1.0625</v>
      </c>
      <c r="L16" s="17">
        <v>0.70833333333333337</v>
      </c>
      <c r="M16" s="17">
        <v>1.0625</v>
      </c>
      <c r="N16" s="17">
        <v>0.66666666666666663</v>
      </c>
      <c r="O16" s="17">
        <v>1.0208333333333333</v>
      </c>
      <c r="P16" s="18">
        <f t="shared" si="9"/>
        <v>1.625</v>
      </c>
      <c r="W16" s="5">
        <f>C16-B16</f>
        <v>0.29166666666666663</v>
      </c>
      <c r="X16" s="5">
        <f>E16-D16</f>
        <v>0</v>
      </c>
      <c r="Y16" s="5">
        <f>G16-F16</f>
        <v>0</v>
      </c>
      <c r="Z16" s="5">
        <f>I16-H16</f>
        <v>0.3125</v>
      </c>
      <c r="AA16" s="5">
        <f>K16-J16</f>
        <v>0.3125</v>
      </c>
      <c r="AB16" s="5">
        <f>M16-L16</f>
        <v>0.35416666666666663</v>
      </c>
      <c r="AC16" s="5">
        <f>O16-N16</f>
        <v>0.35416666666666663</v>
      </c>
    </row>
    <row r="17" spans="1:29" ht="15" thickBot="1" x14ac:dyDescent="0.35">
      <c r="A17" s="8" t="s">
        <v>34</v>
      </c>
      <c r="B17" s="10"/>
      <c r="C17" s="10"/>
      <c r="D17" s="17">
        <v>0.75</v>
      </c>
      <c r="E17" s="17">
        <v>1.0625</v>
      </c>
      <c r="F17" s="17">
        <v>0.72916666666666663</v>
      </c>
      <c r="G17" s="17">
        <v>1.0625</v>
      </c>
      <c r="H17" s="17">
        <v>0.75</v>
      </c>
      <c r="I17" s="17">
        <v>1.0625</v>
      </c>
      <c r="J17" s="17">
        <v>0.75</v>
      </c>
      <c r="K17" s="17">
        <v>1.0625</v>
      </c>
      <c r="L17" s="17">
        <v>0.70833333333333337</v>
      </c>
      <c r="M17" s="17">
        <v>1.0625</v>
      </c>
      <c r="N17" s="10"/>
      <c r="O17" s="10"/>
      <c r="P17" s="18">
        <f t="shared" si="9"/>
        <v>1.625</v>
      </c>
      <c r="W17" s="5">
        <f>C17-B17</f>
        <v>0</v>
      </c>
      <c r="X17" s="5">
        <f>E17-D17</f>
        <v>0.3125</v>
      </c>
      <c r="Y17" s="5">
        <f>G17-F17</f>
        <v>0.33333333333333337</v>
      </c>
      <c r="Z17" s="5">
        <f>I17-H17</f>
        <v>0.3125</v>
      </c>
      <c r="AA17" s="5">
        <f>K17-J17</f>
        <v>0.3125</v>
      </c>
      <c r="AB17" s="5">
        <f>M17-L17</f>
        <v>0.35416666666666663</v>
      </c>
      <c r="AC17" s="5">
        <f>O17-N17</f>
        <v>0</v>
      </c>
    </row>
    <row r="18" spans="1:29" ht="15" thickBot="1" x14ac:dyDescent="0.35">
      <c r="A18" s="1" t="e" cm="1">
        <f t="array" ref="A18">+A18:PA18:P+A18:P363628A1:P2A1:P48</f>
        <v>#NAME?</v>
      </c>
      <c r="B18" s="67" t="s">
        <v>0</v>
      </c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8"/>
      <c r="W18" s="5" t="e">
        <f t="shared" ref="W18" si="10">C18-B18</f>
        <v>#VALUE!</v>
      </c>
      <c r="X18" s="5">
        <f t="shared" ref="X18" si="11">E18-D18</f>
        <v>0</v>
      </c>
      <c r="Y18" s="5">
        <f t="shared" ref="Y18" si="12">G18-F18</f>
        <v>0</v>
      </c>
      <c r="Z18" s="5">
        <f t="shared" ref="Z18" si="13">I18-H18</f>
        <v>0</v>
      </c>
      <c r="AA18" s="5">
        <f t="shared" ref="AA18" si="14">K18-J18</f>
        <v>0</v>
      </c>
      <c r="AB18" s="5">
        <f t="shared" ref="AB18" si="15">M18-L18</f>
        <v>0</v>
      </c>
      <c r="AC18" s="5">
        <f t="shared" ref="AC18" si="16">O18-N18</f>
        <v>0</v>
      </c>
    </row>
    <row r="19" spans="1:29" ht="15" thickBot="1" x14ac:dyDescent="0.35">
      <c r="A19" s="2"/>
      <c r="B19" s="67" t="s">
        <v>35</v>
      </c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8"/>
    </row>
    <row r="20" spans="1:29" x14ac:dyDescent="0.3">
      <c r="A20" s="3"/>
      <c r="B20" s="74" t="s">
        <v>1</v>
      </c>
      <c r="C20" s="75"/>
      <c r="D20" s="74" t="s">
        <v>2</v>
      </c>
      <c r="E20" s="75"/>
      <c r="F20" s="74" t="s">
        <v>3</v>
      </c>
      <c r="G20" s="75"/>
      <c r="H20" s="74" t="s">
        <v>4</v>
      </c>
      <c r="I20" s="75"/>
      <c r="J20" s="74" t="s">
        <v>5</v>
      </c>
      <c r="K20" s="75"/>
      <c r="L20" s="74" t="s">
        <v>6</v>
      </c>
      <c r="M20" s="75"/>
      <c r="N20" s="74" t="s">
        <v>7</v>
      </c>
      <c r="O20" s="75"/>
      <c r="P20" s="4" t="s">
        <v>8</v>
      </c>
    </row>
    <row r="21" spans="1:29" x14ac:dyDescent="0.3">
      <c r="A21" s="6"/>
      <c r="B21" s="72">
        <v>46076</v>
      </c>
      <c r="C21" s="73"/>
      <c r="D21" s="72">
        <v>46077</v>
      </c>
      <c r="E21" s="73"/>
      <c r="F21" s="72">
        <v>46078</v>
      </c>
      <c r="G21" s="73"/>
      <c r="H21" s="72">
        <v>46079</v>
      </c>
      <c r="I21" s="73"/>
      <c r="J21" s="72">
        <v>46080</v>
      </c>
      <c r="K21" s="73"/>
      <c r="L21" s="72">
        <v>46081</v>
      </c>
      <c r="M21" s="73"/>
      <c r="N21" s="72">
        <v>46082</v>
      </c>
      <c r="O21" s="73"/>
      <c r="P21" s="7"/>
    </row>
    <row r="22" spans="1:29" x14ac:dyDescent="0.3">
      <c r="A22" s="8" t="s">
        <v>9</v>
      </c>
      <c r="B22" s="72"/>
      <c r="C22" s="73"/>
      <c r="D22" s="72"/>
      <c r="E22" s="73"/>
      <c r="F22" s="72"/>
      <c r="G22" s="73"/>
      <c r="H22" s="72"/>
      <c r="I22" s="73"/>
      <c r="J22" s="72"/>
      <c r="K22" s="73"/>
      <c r="L22" s="72"/>
      <c r="M22" s="73"/>
      <c r="N22" s="72"/>
      <c r="O22" s="73"/>
      <c r="P22" s="7"/>
    </row>
    <row r="23" spans="1:29" x14ac:dyDescent="0.3">
      <c r="A23" s="9" t="s">
        <v>10</v>
      </c>
      <c r="B23" s="10"/>
      <c r="C23" s="10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0"/>
      <c r="O23" s="10"/>
      <c r="P23" s="12"/>
    </row>
    <row r="24" spans="1:29" x14ac:dyDescent="0.3">
      <c r="A24" s="13" t="s">
        <v>12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10"/>
      <c r="M24" s="10"/>
      <c r="N24" s="10"/>
      <c r="O24" s="10"/>
      <c r="P24" s="12"/>
    </row>
    <row r="25" spans="1:29" x14ac:dyDescent="0.3">
      <c r="A25" s="8" t="s">
        <v>28</v>
      </c>
      <c r="B25" s="14"/>
      <c r="C25" s="14"/>
      <c r="D25" s="14"/>
      <c r="E25" s="14"/>
      <c r="F25" s="14"/>
      <c r="G25" s="14"/>
      <c r="H25" s="10"/>
      <c r="I25" s="10"/>
      <c r="J25" s="10"/>
      <c r="K25" s="10"/>
      <c r="L25" s="14"/>
      <c r="M25" s="14"/>
      <c r="N25" s="14"/>
      <c r="O25" s="14"/>
      <c r="P25" s="12"/>
    </row>
    <row r="26" spans="1:29" x14ac:dyDescent="0.3">
      <c r="A26" s="8" t="s">
        <v>32</v>
      </c>
      <c r="B26" s="10"/>
      <c r="C26" s="10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0"/>
      <c r="O26" s="10"/>
      <c r="P26" s="12"/>
    </row>
    <row r="27" spans="1:29" x14ac:dyDescent="0.3">
      <c r="A27" s="8" t="s">
        <v>14</v>
      </c>
      <c r="B27" s="14"/>
      <c r="C27" s="14"/>
      <c r="D27" s="10"/>
      <c r="E27" s="10"/>
      <c r="F27" s="10"/>
      <c r="G27" s="10"/>
      <c r="H27" s="14"/>
      <c r="I27" s="14"/>
      <c r="J27" s="14"/>
      <c r="K27" s="14"/>
      <c r="L27" s="14"/>
      <c r="M27" s="14"/>
      <c r="N27" s="14"/>
      <c r="O27" s="14"/>
      <c r="P27" s="12"/>
    </row>
    <row r="28" spans="1:29" x14ac:dyDescent="0.3">
      <c r="A28" s="15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</row>
    <row r="29" spans="1:29" x14ac:dyDescent="0.3">
      <c r="A29" s="9" t="s">
        <v>16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8"/>
    </row>
    <row r="30" spans="1:29" x14ac:dyDescent="0.3">
      <c r="A30" s="9" t="s">
        <v>17</v>
      </c>
      <c r="B30" s="17"/>
      <c r="C30" s="17"/>
      <c r="D30" s="10"/>
      <c r="E30" s="10"/>
      <c r="F30" s="10"/>
      <c r="G30" s="10"/>
      <c r="H30" s="17"/>
      <c r="I30" s="17"/>
      <c r="J30" s="17"/>
      <c r="K30" s="17"/>
      <c r="L30" s="17"/>
      <c r="M30" s="17"/>
      <c r="N30" s="17"/>
      <c r="O30" s="17"/>
      <c r="P30" s="18"/>
    </row>
    <row r="31" spans="1:29" x14ac:dyDescent="0.3">
      <c r="A31" s="9" t="s">
        <v>21</v>
      </c>
      <c r="B31" s="20"/>
      <c r="C31" s="20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0"/>
      <c r="O31" s="10"/>
      <c r="P31" s="18"/>
    </row>
    <row r="32" spans="1:29" x14ac:dyDescent="0.3">
      <c r="A32" s="19" t="s">
        <v>18</v>
      </c>
      <c r="B32" s="17"/>
      <c r="C32" s="17"/>
      <c r="D32" s="17"/>
      <c r="E32" s="17"/>
      <c r="F32" s="17"/>
      <c r="G32" s="17"/>
      <c r="H32" s="20"/>
      <c r="I32" s="20"/>
      <c r="J32" s="20"/>
      <c r="K32" s="20"/>
      <c r="L32" s="17"/>
      <c r="M32" s="17"/>
      <c r="N32" s="17"/>
      <c r="O32" s="17"/>
      <c r="P32" s="18"/>
    </row>
    <row r="33" spans="1:16" x14ac:dyDescent="0.3">
      <c r="A33" s="8" t="s">
        <v>26</v>
      </c>
      <c r="B33" s="17"/>
      <c r="C33" s="17"/>
      <c r="D33" s="10"/>
      <c r="E33" s="10"/>
      <c r="F33" s="10"/>
      <c r="G33" s="10"/>
      <c r="H33" s="17"/>
      <c r="I33" s="17"/>
      <c r="J33" s="17"/>
      <c r="K33" s="17"/>
      <c r="L33" s="17"/>
      <c r="M33" s="17"/>
      <c r="N33" s="17"/>
      <c r="O33" s="17"/>
      <c r="P33" s="18"/>
    </row>
    <row r="34" spans="1:16" x14ac:dyDescent="0.3">
      <c r="A34" s="19" t="s">
        <v>34</v>
      </c>
      <c r="B34" s="10"/>
      <c r="C34" s="10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0"/>
      <c r="O34" s="10"/>
      <c r="P34" s="18"/>
    </row>
  </sheetData>
  <mergeCells count="46">
    <mergeCell ref="B1:P1"/>
    <mergeCell ref="B2:P2"/>
    <mergeCell ref="B3:C3"/>
    <mergeCell ref="D3:E3"/>
    <mergeCell ref="F3:G3"/>
    <mergeCell ref="H3:I3"/>
    <mergeCell ref="J3:K3"/>
    <mergeCell ref="L3:M3"/>
    <mergeCell ref="N3:O3"/>
    <mergeCell ref="N4:O4"/>
    <mergeCell ref="B5:C5"/>
    <mergeCell ref="D5:E5"/>
    <mergeCell ref="F5:G5"/>
    <mergeCell ref="H5:I5"/>
    <mergeCell ref="J5:K5"/>
    <mergeCell ref="L5:M5"/>
    <mergeCell ref="N5:O5"/>
    <mergeCell ref="B4:C4"/>
    <mergeCell ref="D4:E4"/>
    <mergeCell ref="F4:G4"/>
    <mergeCell ref="H4:I4"/>
    <mergeCell ref="J4:K4"/>
    <mergeCell ref="L4:M4"/>
    <mergeCell ref="B18:P18"/>
    <mergeCell ref="B19:P19"/>
    <mergeCell ref="B20:C20"/>
    <mergeCell ref="D20:E20"/>
    <mergeCell ref="F20:G20"/>
    <mergeCell ref="H20:I20"/>
    <mergeCell ref="J20:K20"/>
    <mergeCell ref="L20:M20"/>
    <mergeCell ref="N20:O20"/>
    <mergeCell ref="N21:O21"/>
    <mergeCell ref="B22:C22"/>
    <mergeCell ref="D22:E22"/>
    <mergeCell ref="F22:G22"/>
    <mergeCell ref="H22:I22"/>
    <mergeCell ref="J22:K22"/>
    <mergeCell ref="L22:M22"/>
    <mergeCell ref="N22:O22"/>
    <mergeCell ref="B21:C21"/>
    <mergeCell ref="D21:E21"/>
    <mergeCell ref="F21:G21"/>
    <mergeCell ref="H21:I21"/>
    <mergeCell ref="J21:K21"/>
    <mergeCell ref="L21:M2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3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7CFA6-CE9D-4B37-BE5F-D6065E2F9146}">
  <sheetPr>
    <pageSetUpPr fitToPage="1"/>
  </sheetPr>
  <dimension ref="A1:AC36"/>
  <sheetViews>
    <sheetView workbookViewId="0">
      <selection sqref="A1:AC44"/>
    </sheetView>
  </sheetViews>
  <sheetFormatPr baseColWidth="10" defaultRowHeight="14.4" x14ac:dyDescent="0.3"/>
  <sheetData>
    <row r="1" spans="1:29" ht="15" thickBot="1" x14ac:dyDescent="0.35">
      <c r="A1" s="1"/>
      <c r="B1" s="67" t="s">
        <v>0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8"/>
    </row>
    <row r="2" spans="1:29" ht="15" thickBot="1" x14ac:dyDescent="0.35">
      <c r="A2" s="2"/>
      <c r="B2" s="67" t="s">
        <v>38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8"/>
    </row>
    <row r="3" spans="1:29" x14ac:dyDescent="0.3">
      <c r="A3" s="3"/>
      <c r="B3" s="74" t="s">
        <v>1</v>
      </c>
      <c r="C3" s="75"/>
      <c r="D3" s="74" t="s">
        <v>2</v>
      </c>
      <c r="E3" s="75"/>
      <c r="F3" s="74" t="s">
        <v>3</v>
      </c>
      <c r="G3" s="75"/>
      <c r="H3" s="74" t="s">
        <v>4</v>
      </c>
      <c r="I3" s="75"/>
      <c r="J3" s="74" t="s">
        <v>5</v>
      </c>
      <c r="K3" s="75"/>
      <c r="L3" s="74" t="s">
        <v>6</v>
      </c>
      <c r="M3" s="75"/>
      <c r="N3" s="74" t="s">
        <v>7</v>
      </c>
      <c r="O3" s="75"/>
      <c r="P3" s="4" t="s">
        <v>8</v>
      </c>
      <c r="W3" s="5" t="e">
        <f t="shared" ref="W3:W16" si="0">C3-B3</f>
        <v>#VALUE!</v>
      </c>
      <c r="X3" s="5" t="e">
        <f t="shared" ref="X3:X16" si="1">E3-D3</f>
        <v>#VALUE!</v>
      </c>
      <c r="Y3" s="5" t="e">
        <f t="shared" ref="Y3:Y16" si="2">G3-F3</f>
        <v>#VALUE!</v>
      </c>
      <c r="Z3" s="5" t="e">
        <f t="shared" ref="Z3:Z16" si="3">I3-H3</f>
        <v>#VALUE!</v>
      </c>
      <c r="AA3" s="5" t="e">
        <f t="shared" ref="AA3:AA16" si="4">K3-J3</f>
        <v>#VALUE!</v>
      </c>
      <c r="AB3" s="5" t="e">
        <f t="shared" ref="AB3:AB16" si="5">M3-L3</f>
        <v>#VALUE!</v>
      </c>
      <c r="AC3" s="5" t="e">
        <f t="shared" ref="AC3:AC16" si="6">O3-N3</f>
        <v>#VALUE!</v>
      </c>
    </row>
    <row r="4" spans="1:29" x14ac:dyDescent="0.3">
      <c r="A4" s="6"/>
      <c r="B4" s="72">
        <v>46083</v>
      </c>
      <c r="C4" s="73"/>
      <c r="D4" s="72">
        <v>46084</v>
      </c>
      <c r="E4" s="73"/>
      <c r="F4" s="72">
        <v>46085</v>
      </c>
      <c r="G4" s="73"/>
      <c r="H4" s="72">
        <v>46086</v>
      </c>
      <c r="I4" s="73"/>
      <c r="J4" s="72">
        <v>46087</v>
      </c>
      <c r="K4" s="73"/>
      <c r="L4" s="72">
        <v>46088</v>
      </c>
      <c r="M4" s="73"/>
      <c r="N4" s="72">
        <v>46089</v>
      </c>
      <c r="O4" s="73"/>
      <c r="P4" s="7"/>
      <c r="W4" s="5">
        <f t="shared" si="0"/>
        <v>-46083</v>
      </c>
      <c r="X4" s="5">
        <f t="shared" si="1"/>
        <v>-46084</v>
      </c>
      <c r="Y4" s="5">
        <f t="shared" si="2"/>
        <v>-46085</v>
      </c>
      <c r="Z4" s="5">
        <f t="shared" si="3"/>
        <v>-46086</v>
      </c>
      <c r="AA4" s="5">
        <f t="shared" si="4"/>
        <v>-46087</v>
      </c>
      <c r="AB4" s="5">
        <f t="shared" si="5"/>
        <v>-46088</v>
      </c>
      <c r="AC4" s="5">
        <f t="shared" si="6"/>
        <v>-46089</v>
      </c>
    </row>
    <row r="5" spans="1:29" x14ac:dyDescent="0.3">
      <c r="A5" s="8" t="s">
        <v>9</v>
      </c>
      <c r="B5" s="72"/>
      <c r="C5" s="73"/>
      <c r="D5" s="72"/>
      <c r="E5" s="73"/>
      <c r="F5" s="72"/>
      <c r="G5" s="73"/>
      <c r="H5" s="72"/>
      <c r="I5" s="73"/>
      <c r="J5" s="72"/>
      <c r="K5" s="73"/>
      <c r="L5" s="72"/>
      <c r="M5" s="73"/>
      <c r="N5" s="72"/>
      <c r="O5" s="73"/>
      <c r="P5" s="7"/>
      <c r="W5" s="5">
        <f t="shared" si="0"/>
        <v>0</v>
      </c>
      <c r="X5" s="5">
        <f t="shared" si="1"/>
        <v>0</v>
      </c>
      <c r="Y5" s="5">
        <f t="shared" si="2"/>
        <v>0</v>
      </c>
      <c r="Z5" s="5">
        <f t="shared" si="3"/>
        <v>0</v>
      </c>
      <c r="AA5" s="5">
        <f t="shared" si="4"/>
        <v>0</v>
      </c>
      <c r="AB5" s="5">
        <f t="shared" si="5"/>
        <v>0</v>
      </c>
      <c r="AC5" s="5">
        <f t="shared" si="6"/>
        <v>0</v>
      </c>
    </row>
    <row r="6" spans="1:29" x14ac:dyDescent="0.3">
      <c r="A6" s="9" t="s">
        <v>10</v>
      </c>
      <c r="B6" s="11">
        <v>0.41666666666666669</v>
      </c>
      <c r="C6" s="11">
        <v>0.70833333333333337</v>
      </c>
      <c r="D6" s="11">
        <v>0.39583333333333331</v>
      </c>
      <c r="E6" s="11">
        <v>0.72916666666666663</v>
      </c>
      <c r="F6" s="11">
        <v>0.375</v>
      </c>
      <c r="G6" s="11">
        <v>0.72916666666666663</v>
      </c>
      <c r="H6" s="11">
        <v>0.41666666666666669</v>
      </c>
      <c r="I6" s="11">
        <v>0.72916666666666663</v>
      </c>
      <c r="J6" s="11">
        <v>0.375</v>
      </c>
      <c r="K6" s="11">
        <v>0.70833333333333337</v>
      </c>
      <c r="L6" s="10"/>
      <c r="M6" s="10"/>
      <c r="N6" s="10"/>
      <c r="O6" s="10"/>
      <c r="P6" s="12">
        <f>W6+X6+Y6+Z6+AA6+AB6+AC6</f>
        <v>1.625</v>
      </c>
      <c r="W6" s="5">
        <f t="shared" si="0"/>
        <v>0.29166666666666669</v>
      </c>
      <c r="X6" s="5">
        <f t="shared" si="1"/>
        <v>0.33333333333333331</v>
      </c>
      <c r="Y6" s="5">
        <f t="shared" si="2"/>
        <v>0.35416666666666663</v>
      </c>
      <c r="Z6" s="5">
        <f t="shared" si="3"/>
        <v>0.31249999999999994</v>
      </c>
      <c r="AA6" s="5">
        <f t="shared" si="4"/>
        <v>0.33333333333333337</v>
      </c>
      <c r="AB6" s="5">
        <f t="shared" si="5"/>
        <v>0</v>
      </c>
      <c r="AC6" s="5">
        <f t="shared" si="6"/>
        <v>0</v>
      </c>
    </row>
    <row r="7" spans="1:29" x14ac:dyDescent="0.3">
      <c r="A7" s="13" t="s">
        <v>12</v>
      </c>
      <c r="B7" s="21">
        <v>0.41666666666666669</v>
      </c>
      <c r="C7" s="21">
        <v>0.70833333333333337</v>
      </c>
      <c r="D7" s="21">
        <v>0.41666666666666669</v>
      </c>
      <c r="E7" s="21">
        <v>0.70833333333333337</v>
      </c>
      <c r="F7" s="21">
        <v>0.41666666666666669</v>
      </c>
      <c r="G7" s="21">
        <v>0.70833333333333337</v>
      </c>
      <c r="H7" s="21">
        <v>0.41666666666666669</v>
      </c>
      <c r="I7" s="21">
        <v>0.70833333333333337</v>
      </c>
      <c r="J7" s="21">
        <v>0.41666666666666669</v>
      </c>
      <c r="K7" s="21">
        <v>0.70833333333333337</v>
      </c>
      <c r="L7" s="10"/>
      <c r="M7" s="10"/>
      <c r="N7" s="10"/>
      <c r="O7" s="10"/>
      <c r="P7" s="12">
        <f>W7+X7+Y7+Z7+AA7+AB7+AC7</f>
        <v>1.4583333333333335</v>
      </c>
      <c r="W7" s="5">
        <f t="shared" si="0"/>
        <v>0.29166666666666669</v>
      </c>
      <c r="X7" s="5">
        <f t="shared" si="1"/>
        <v>0.29166666666666669</v>
      </c>
      <c r="Y7" s="5">
        <f t="shared" si="2"/>
        <v>0.29166666666666669</v>
      </c>
      <c r="Z7" s="5">
        <f t="shared" si="3"/>
        <v>0.29166666666666669</v>
      </c>
      <c r="AA7" s="5">
        <f t="shared" si="4"/>
        <v>0.29166666666666669</v>
      </c>
      <c r="AB7" s="5">
        <f t="shared" si="5"/>
        <v>0</v>
      </c>
      <c r="AC7" s="5">
        <f t="shared" si="6"/>
        <v>0</v>
      </c>
    </row>
    <row r="8" spans="1:29" x14ac:dyDescent="0.3">
      <c r="A8" s="8" t="s">
        <v>28</v>
      </c>
      <c r="B8" s="14">
        <v>0.39583333333333331</v>
      </c>
      <c r="C8" s="14">
        <v>0.72916666666666663</v>
      </c>
      <c r="D8" s="14">
        <v>0.39583333333333331</v>
      </c>
      <c r="E8" s="14">
        <v>0.72916666666666663</v>
      </c>
      <c r="F8" s="14">
        <v>0.375</v>
      </c>
      <c r="G8" s="14">
        <v>0.70833333333333337</v>
      </c>
      <c r="H8" s="10"/>
      <c r="I8" s="10"/>
      <c r="J8" s="10"/>
      <c r="K8" s="10"/>
      <c r="L8" s="14">
        <v>0.39583333333333331</v>
      </c>
      <c r="M8" s="14">
        <v>0.70833333333333337</v>
      </c>
      <c r="N8" s="14">
        <v>0.39583333333333331</v>
      </c>
      <c r="O8" s="14">
        <v>0.70833333333333337</v>
      </c>
      <c r="P8" s="12">
        <f t="shared" ref="P8:P11" si="7">W8+X8+Y8+Z8+AA8+AB8+AC8</f>
        <v>1.625</v>
      </c>
      <c r="W8" s="5">
        <f t="shared" si="0"/>
        <v>0.33333333333333331</v>
      </c>
      <c r="X8" s="5">
        <f t="shared" si="1"/>
        <v>0.33333333333333331</v>
      </c>
      <c r="Y8" s="5">
        <f t="shared" si="2"/>
        <v>0.33333333333333337</v>
      </c>
      <c r="Z8" s="5">
        <f t="shared" si="3"/>
        <v>0</v>
      </c>
      <c r="AA8" s="5">
        <f t="shared" si="4"/>
        <v>0</v>
      </c>
      <c r="AB8" s="5">
        <f t="shared" si="5"/>
        <v>0.31250000000000006</v>
      </c>
      <c r="AC8" s="5">
        <f t="shared" si="6"/>
        <v>0.31250000000000006</v>
      </c>
    </row>
    <row r="9" spans="1:29" x14ac:dyDescent="0.3">
      <c r="A9" s="8" t="s">
        <v>36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4">
        <v>0.48958333333333331</v>
      </c>
      <c r="M9" s="14">
        <v>0.63541666666666663</v>
      </c>
      <c r="N9" s="14">
        <v>0.48958333333333331</v>
      </c>
      <c r="O9" s="14">
        <v>0.63541666666666663</v>
      </c>
      <c r="P9" s="12">
        <f t="shared" si="7"/>
        <v>0.29166666666666663</v>
      </c>
      <c r="W9" s="5">
        <f t="shared" ref="W9" si="8">C9-B9</f>
        <v>0</v>
      </c>
      <c r="X9" s="5">
        <f t="shared" ref="X9" si="9">E9-D9</f>
        <v>0</v>
      </c>
      <c r="Y9" s="5">
        <f t="shared" ref="Y9" si="10">G9-F9</f>
        <v>0</v>
      </c>
      <c r="Z9" s="5">
        <f t="shared" ref="Z9" si="11">I9-H9</f>
        <v>0</v>
      </c>
      <c r="AA9" s="5">
        <f t="shared" ref="AA9" si="12">K9-J9</f>
        <v>0</v>
      </c>
      <c r="AB9" s="5">
        <f t="shared" ref="AB9" si="13">M9-L9</f>
        <v>0.14583333333333331</v>
      </c>
      <c r="AC9" s="5">
        <f t="shared" ref="AC9" si="14">O9-N9</f>
        <v>0.14583333333333331</v>
      </c>
    </row>
    <row r="10" spans="1:29" x14ac:dyDescent="0.3">
      <c r="A10" s="8" t="s">
        <v>37</v>
      </c>
      <c r="B10" s="10"/>
      <c r="C10" s="10"/>
      <c r="D10" s="14">
        <v>0.39583333333333331</v>
      </c>
      <c r="E10" s="14">
        <v>0.72916666666666663</v>
      </c>
      <c r="F10" s="14">
        <v>0.375</v>
      </c>
      <c r="G10" s="14">
        <v>0.72916666666666663</v>
      </c>
      <c r="H10" s="14">
        <v>0.41666666666666669</v>
      </c>
      <c r="I10" s="14">
        <v>0.72916666666666663</v>
      </c>
      <c r="J10" s="14">
        <v>0.375</v>
      </c>
      <c r="K10" s="14">
        <v>0.70833333333333337</v>
      </c>
      <c r="L10" s="14">
        <v>0.41666666666666669</v>
      </c>
      <c r="M10" s="14">
        <v>0.70833333333333337</v>
      </c>
      <c r="N10" s="10"/>
      <c r="O10" s="10"/>
      <c r="P10" s="12">
        <f t="shared" si="7"/>
        <v>1.6250000000000002</v>
      </c>
      <c r="W10" s="5">
        <f t="shared" si="0"/>
        <v>0</v>
      </c>
      <c r="X10" s="5">
        <f t="shared" si="1"/>
        <v>0.33333333333333331</v>
      </c>
      <c r="Y10" s="5">
        <f t="shared" si="2"/>
        <v>0.35416666666666663</v>
      </c>
      <c r="Z10" s="5">
        <f t="shared" si="3"/>
        <v>0.31249999999999994</v>
      </c>
      <c r="AA10" s="5">
        <f t="shared" si="4"/>
        <v>0.33333333333333337</v>
      </c>
      <c r="AB10" s="5">
        <f t="shared" si="5"/>
        <v>0.29166666666666669</v>
      </c>
      <c r="AC10" s="5">
        <f t="shared" si="6"/>
        <v>0</v>
      </c>
    </row>
    <row r="11" spans="1:29" x14ac:dyDescent="0.3">
      <c r="A11" s="8" t="s">
        <v>14</v>
      </c>
      <c r="B11" s="14">
        <v>0.39583333333333331</v>
      </c>
      <c r="C11" s="14">
        <v>0.70833333333333337</v>
      </c>
      <c r="D11" s="10"/>
      <c r="E11" s="10"/>
      <c r="F11" s="10"/>
      <c r="G11" s="10"/>
      <c r="H11" s="14">
        <v>0.39583333333333331</v>
      </c>
      <c r="I11" s="14">
        <v>0.72916666666666663</v>
      </c>
      <c r="J11" s="14">
        <v>0.375</v>
      </c>
      <c r="K11" s="14">
        <v>0.70833333333333337</v>
      </c>
      <c r="L11" s="14">
        <v>0.39583333333333331</v>
      </c>
      <c r="M11" s="14">
        <v>0.72916666666666663</v>
      </c>
      <c r="N11" s="14">
        <v>0.39583333333333331</v>
      </c>
      <c r="O11" s="14">
        <v>0.70833333333333337</v>
      </c>
      <c r="P11" s="12">
        <f t="shared" si="7"/>
        <v>1.625</v>
      </c>
      <c r="W11" s="5">
        <f t="shared" si="0"/>
        <v>0.31250000000000006</v>
      </c>
      <c r="X11" s="5">
        <f t="shared" si="1"/>
        <v>0</v>
      </c>
      <c r="Y11" s="5">
        <f t="shared" si="2"/>
        <v>0</v>
      </c>
      <c r="Z11" s="5">
        <f t="shared" si="3"/>
        <v>0.33333333333333331</v>
      </c>
      <c r="AA11" s="5">
        <f t="shared" si="4"/>
        <v>0.33333333333333337</v>
      </c>
      <c r="AB11" s="5">
        <f t="shared" si="5"/>
        <v>0.33333333333333331</v>
      </c>
      <c r="AC11" s="5">
        <f t="shared" si="6"/>
        <v>0.31250000000000006</v>
      </c>
    </row>
    <row r="12" spans="1:29" x14ac:dyDescent="0.3">
      <c r="A12" s="15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W12" s="5">
        <f t="shared" si="0"/>
        <v>0</v>
      </c>
      <c r="X12" s="5">
        <f t="shared" si="1"/>
        <v>0</v>
      </c>
      <c r="Y12" s="5">
        <f t="shared" si="2"/>
        <v>0</v>
      </c>
      <c r="Z12" s="5">
        <f t="shared" si="3"/>
        <v>0</v>
      </c>
      <c r="AA12" s="5">
        <f t="shared" si="4"/>
        <v>0</v>
      </c>
      <c r="AB12" s="5">
        <f t="shared" si="5"/>
        <v>0</v>
      </c>
      <c r="AC12" s="5">
        <f t="shared" si="6"/>
        <v>0</v>
      </c>
    </row>
    <row r="13" spans="1:29" x14ac:dyDescent="0.3">
      <c r="A13" s="9" t="s">
        <v>16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8">
        <f t="shared" ref="P13:P14" si="15">W13+X13+Y13+Z13+AA13+AB13+AC13</f>
        <v>0</v>
      </c>
      <c r="W13" s="5">
        <f t="shared" si="0"/>
        <v>0</v>
      </c>
      <c r="X13" s="5">
        <f t="shared" si="1"/>
        <v>0</v>
      </c>
      <c r="Y13" s="5">
        <f t="shared" si="2"/>
        <v>0</v>
      </c>
      <c r="Z13" s="5">
        <f t="shared" si="3"/>
        <v>0</v>
      </c>
      <c r="AA13" s="5">
        <f t="shared" si="4"/>
        <v>0</v>
      </c>
      <c r="AB13" s="5">
        <f t="shared" si="5"/>
        <v>0</v>
      </c>
      <c r="AC13" s="5">
        <f t="shared" si="6"/>
        <v>0</v>
      </c>
    </row>
    <row r="14" spans="1:29" x14ac:dyDescent="0.3">
      <c r="A14" s="9" t="s">
        <v>17</v>
      </c>
      <c r="B14" s="17">
        <v>0.70833333333333337</v>
      </c>
      <c r="C14" s="17">
        <v>1.0208333333333299</v>
      </c>
      <c r="D14" s="10"/>
      <c r="E14" s="10"/>
      <c r="F14" s="10"/>
      <c r="G14" s="10"/>
      <c r="H14" s="17">
        <v>0.70833333333333337</v>
      </c>
      <c r="I14" s="17">
        <v>1.0625</v>
      </c>
      <c r="J14" s="17">
        <v>0.70833333333333304</v>
      </c>
      <c r="K14" s="17">
        <v>1.0625</v>
      </c>
      <c r="L14" s="17">
        <v>0.6875</v>
      </c>
      <c r="M14" s="17">
        <v>1.0625</v>
      </c>
      <c r="N14" s="17">
        <v>0.66666666666666663</v>
      </c>
      <c r="O14" s="17">
        <v>1.0208333333333333</v>
      </c>
      <c r="P14" s="18">
        <f t="shared" si="15"/>
        <v>1.7499999999999969</v>
      </c>
      <c r="W14" s="5">
        <f t="shared" si="0"/>
        <v>0.31249999999999656</v>
      </c>
      <c r="X14" s="5">
        <f t="shared" si="1"/>
        <v>0</v>
      </c>
      <c r="Y14" s="5">
        <f t="shared" si="2"/>
        <v>0</v>
      </c>
      <c r="Z14" s="5">
        <f t="shared" si="3"/>
        <v>0.35416666666666663</v>
      </c>
      <c r="AA14" s="5">
        <f t="shared" si="4"/>
        <v>0.35416666666666696</v>
      </c>
      <c r="AB14" s="5">
        <f t="shared" si="5"/>
        <v>0.375</v>
      </c>
      <c r="AC14" s="5">
        <f t="shared" si="6"/>
        <v>0.35416666666666663</v>
      </c>
    </row>
    <row r="15" spans="1:29" x14ac:dyDescent="0.3">
      <c r="A15" s="9" t="s">
        <v>21</v>
      </c>
      <c r="B15" s="20"/>
      <c r="C15" s="20"/>
      <c r="D15" s="17">
        <v>0.70833333333333337</v>
      </c>
      <c r="E15" s="17">
        <v>1.0625</v>
      </c>
      <c r="F15" s="17">
        <v>0.70833333333333337</v>
      </c>
      <c r="G15" s="17">
        <v>1.0625</v>
      </c>
      <c r="H15" s="17">
        <v>0.72916666666666663</v>
      </c>
      <c r="I15" s="17">
        <v>1.0625</v>
      </c>
      <c r="J15" s="17">
        <v>0.70833333333333337</v>
      </c>
      <c r="K15" s="17">
        <v>1.0625</v>
      </c>
      <c r="L15" s="17">
        <v>0.70833333333333337</v>
      </c>
      <c r="M15" s="17">
        <v>1.0625</v>
      </c>
      <c r="N15" s="10"/>
      <c r="O15" s="10"/>
      <c r="P15" s="18">
        <f>W15+X15+Y15+Z15+AA15+AB15+AC15</f>
        <v>1.7499999999999996</v>
      </c>
      <c r="W15" s="5">
        <f t="shared" si="0"/>
        <v>0</v>
      </c>
      <c r="X15" s="5">
        <f t="shared" si="1"/>
        <v>0.35416666666666663</v>
      </c>
      <c r="Y15" s="5">
        <f t="shared" si="2"/>
        <v>0.35416666666666663</v>
      </c>
      <c r="Z15" s="5">
        <f t="shared" si="3"/>
        <v>0.33333333333333337</v>
      </c>
      <c r="AA15" s="5">
        <f t="shared" si="4"/>
        <v>0.35416666666666663</v>
      </c>
      <c r="AB15" s="5">
        <f t="shared" si="5"/>
        <v>0.35416666666666663</v>
      </c>
      <c r="AC15" s="5">
        <f t="shared" si="6"/>
        <v>0</v>
      </c>
    </row>
    <row r="16" spans="1:29" x14ac:dyDescent="0.3">
      <c r="A16" s="19" t="s">
        <v>18</v>
      </c>
      <c r="B16" s="17">
        <v>0.72916666666666663</v>
      </c>
      <c r="C16" s="17">
        <v>1.0208333333333299</v>
      </c>
      <c r="D16" s="17">
        <v>0.70833333333333337</v>
      </c>
      <c r="E16" s="17">
        <v>1.0625</v>
      </c>
      <c r="F16" s="17">
        <v>0.75</v>
      </c>
      <c r="G16" s="17">
        <v>1.0625</v>
      </c>
      <c r="H16" s="20"/>
      <c r="I16" s="20"/>
      <c r="J16" s="20"/>
      <c r="K16" s="20"/>
      <c r="L16" s="17">
        <v>0.70833333333333337</v>
      </c>
      <c r="M16" s="17">
        <v>1.0625</v>
      </c>
      <c r="N16" s="17">
        <v>0.70833333333333337</v>
      </c>
      <c r="O16" s="17">
        <v>1.0208333333333333</v>
      </c>
      <c r="P16" s="18">
        <f t="shared" ref="P16:P18" si="16">W16+X16+Y16+Z16+AA16+AB16+AC16</f>
        <v>1.6249999999999964</v>
      </c>
      <c r="W16" s="5">
        <f t="shared" si="0"/>
        <v>0.2916666666666633</v>
      </c>
      <c r="X16" s="5">
        <f t="shared" si="1"/>
        <v>0.35416666666666663</v>
      </c>
      <c r="Y16" s="5">
        <f t="shared" si="2"/>
        <v>0.3125</v>
      </c>
      <c r="Z16" s="5">
        <f t="shared" si="3"/>
        <v>0</v>
      </c>
      <c r="AA16" s="5">
        <f t="shared" si="4"/>
        <v>0</v>
      </c>
      <c r="AB16" s="5">
        <f t="shared" si="5"/>
        <v>0.35416666666666663</v>
      </c>
      <c r="AC16" s="5">
        <f t="shared" si="6"/>
        <v>0.31249999999999989</v>
      </c>
    </row>
    <row r="17" spans="1:29" x14ac:dyDescent="0.3">
      <c r="A17" s="8" t="s">
        <v>26</v>
      </c>
      <c r="B17" s="17">
        <v>0.72916666666666663</v>
      </c>
      <c r="C17" s="17">
        <v>1.0208333333333333</v>
      </c>
      <c r="D17" s="10"/>
      <c r="E17" s="10"/>
      <c r="F17" s="17">
        <v>0.72916666666666663</v>
      </c>
      <c r="G17" s="17">
        <v>1.0625</v>
      </c>
      <c r="H17" s="17">
        <v>0.75</v>
      </c>
      <c r="I17" s="17">
        <v>1.0625</v>
      </c>
      <c r="J17" s="17">
        <v>0.75</v>
      </c>
      <c r="K17" s="17">
        <v>1.0625</v>
      </c>
      <c r="L17" s="17">
        <v>0.70833333333333337</v>
      </c>
      <c r="M17" s="17">
        <v>1.0625</v>
      </c>
      <c r="N17" s="17">
        <v>0.66666666666666663</v>
      </c>
      <c r="O17" s="17">
        <v>1.0208333333333333</v>
      </c>
      <c r="P17" s="18">
        <f t="shared" si="16"/>
        <v>1.958333333333333</v>
      </c>
      <c r="W17" s="5">
        <f>C17-B17</f>
        <v>0.29166666666666663</v>
      </c>
      <c r="X17" s="5">
        <f>E17-D17</f>
        <v>0</v>
      </c>
      <c r="Y17" s="5">
        <f>G17-F17</f>
        <v>0.33333333333333337</v>
      </c>
      <c r="Z17" s="5">
        <f>I17-H17</f>
        <v>0.3125</v>
      </c>
      <c r="AA17" s="5">
        <f>K17-J17</f>
        <v>0.3125</v>
      </c>
      <c r="AB17" s="5">
        <f>M17-L17</f>
        <v>0.35416666666666663</v>
      </c>
      <c r="AC17" s="5">
        <f>O17-N17</f>
        <v>0.35416666666666663</v>
      </c>
    </row>
    <row r="18" spans="1:29" ht="15" thickBot="1" x14ac:dyDescent="0.35">
      <c r="A18" s="8" t="s">
        <v>39</v>
      </c>
      <c r="B18" s="10"/>
      <c r="C18" s="10"/>
      <c r="D18" s="10"/>
      <c r="E18" s="10"/>
      <c r="F18" s="10"/>
      <c r="G18" s="10"/>
      <c r="H18" s="17">
        <v>0.75</v>
      </c>
      <c r="I18" s="17">
        <v>1.0625</v>
      </c>
      <c r="J18" s="17">
        <v>0.75</v>
      </c>
      <c r="K18" s="17">
        <v>1.0625</v>
      </c>
      <c r="L18" s="17">
        <v>0.70833333333333337</v>
      </c>
      <c r="M18" s="17">
        <v>1.0625</v>
      </c>
      <c r="N18" s="10"/>
      <c r="O18" s="10"/>
      <c r="P18" s="18">
        <f t="shared" si="16"/>
        <v>0.97916666666666663</v>
      </c>
      <c r="W18" s="5">
        <f>C18-B18</f>
        <v>0</v>
      </c>
      <c r="X18" s="5">
        <f>E18-D18</f>
        <v>0</v>
      </c>
      <c r="Y18" s="5">
        <f>G18-F18</f>
        <v>0</v>
      </c>
      <c r="Z18" s="5">
        <f>I18-H18</f>
        <v>0.3125</v>
      </c>
      <c r="AA18" s="5">
        <f>K18-J18</f>
        <v>0.3125</v>
      </c>
      <c r="AB18" s="5">
        <f>M18-L18</f>
        <v>0.35416666666666663</v>
      </c>
      <c r="AC18" s="5">
        <f>O18-N18</f>
        <v>0</v>
      </c>
    </row>
    <row r="19" spans="1:29" ht="15" thickBot="1" x14ac:dyDescent="0.35">
      <c r="A19" s="1" t="e" cm="1">
        <f t="array" ref="A19">+A19:PA19:P+A19:P363628A1:P2A1:P48</f>
        <v>#NAME?</v>
      </c>
      <c r="B19" s="67" t="s">
        <v>0</v>
      </c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8"/>
      <c r="W19" s="5" t="e">
        <f t="shared" ref="W19" si="17">C19-B19</f>
        <v>#VALUE!</v>
      </c>
      <c r="X19" s="5">
        <f t="shared" ref="X19" si="18">E19-D19</f>
        <v>0</v>
      </c>
      <c r="Y19" s="5">
        <f t="shared" ref="Y19" si="19">G19-F19</f>
        <v>0</v>
      </c>
      <c r="Z19" s="5">
        <f t="shared" ref="Z19" si="20">I19-H19</f>
        <v>0</v>
      </c>
      <c r="AA19" s="5">
        <f t="shared" ref="AA19" si="21">K19-J19</f>
        <v>0</v>
      </c>
      <c r="AB19" s="5">
        <f t="shared" ref="AB19" si="22">M19-L19</f>
        <v>0</v>
      </c>
      <c r="AC19" s="5">
        <f t="shared" ref="AC19" si="23">O19-N19</f>
        <v>0</v>
      </c>
    </row>
    <row r="20" spans="1:29" ht="15" thickBot="1" x14ac:dyDescent="0.35">
      <c r="A20" s="2"/>
      <c r="B20" s="67" t="s">
        <v>38</v>
      </c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8"/>
    </row>
    <row r="21" spans="1:29" x14ac:dyDescent="0.3">
      <c r="A21" s="3"/>
      <c r="B21" s="74" t="s">
        <v>1</v>
      </c>
      <c r="C21" s="75"/>
      <c r="D21" s="74" t="s">
        <v>2</v>
      </c>
      <c r="E21" s="75"/>
      <c r="F21" s="74" t="s">
        <v>3</v>
      </c>
      <c r="G21" s="75"/>
      <c r="H21" s="74" t="s">
        <v>4</v>
      </c>
      <c r="I21" s="75"/>
      <c r="J21" s="74" t="s">
        <v>5</v>
      </c>
      <c r="K21" s="75"/>
      <c r="L21" s="74" t="s">
        <v>6</v>
      </c>
      <c r="M21" s="75"/>
      <c r="N21" s="74" t="s">
        <v>7</v>
      </c>
      <c r="O21" s="75"/>
      <c r="P21" s="4" t="s">
        <v>8</v>
      </c>
    </row>
    <row r="22" spans="1:29" x14ac:dyDescent="0.3">
      <c r="A22" s="6"/>
      <c r="B22" s="72">
        <v>46076</v>
      </c>
      <c r="C22" s="73"/>
      <c r="D22" s="72">
        <v>46077</v>
      </c>
      <c r="E22" s="73"/>
      <c r="F22" s="72">
        <v>46078</v>
      </c>
      <c r="G22" s="73"/>
      <c r="H22" s="72">
        <v>46079</v>
      </c>
      <c r="I22" s="73"/>
      <c r="J22" s="72">
        <v>46080</v>
      </c>
      <c r="K22" s="73"/>
      <c r="L22" s="72">
        <v>46081</v>
      </c>
      <c r="M22" s="73"/>
      <c r="N22" s="72">
        <v>46082</v>
      </c>
      <c r="O22" s="73"/>
      <c r="P22" s="7"/>
    </row>
    <row r="23" spans="1:29" x14ac:dyDescent="0.3">
      <c r="A23" s="8" t="s">
        <v>9</v>
      </c>
      <c r="B23" s="72"/>
      <c r="C23" s="73"/>
      <c r="D23" s="72"/>
      <c r="E23" s="73"/>
      <c r="F23" s="72"/>
      <c r="G23" s="73"/>
      <c r="H23" s="72"/>
      <c r="I23" s="73"/>
      <c r="J23" s="72"/>
      <c r="K23" s="73"/>
      <c r="L23" s="72"/>
      <c r="M23" s="73"/>
      <c r="N23" s="72"/>
      <c r="O23" s="73"/>
      <c r="P23" s="7"/>
    </row>
    <row r="24" spans="1:29" x14ac:dyDescent="0.3">
      <c r="A24" s="9" t="s">
        <v>10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0"/>
      <c r="M24" s="10"/>
      <c r="N24" s="10"/>
      <c r="O24" s="10"/>
      <c r="P24" s="12"/>
    </row>
    <row r="25" spans="1:29" x14ac:dyDescent="0.3">
      <c r="A25" s="13" t="s">
        <v>12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10"/>
      <c r="M25" s="10"/>
      <c r="N25" s="10"/>
      <c r="O25" s="10"/>
      <c r="P25" s="12"/>
    </row>
    <row r="26" spans="1:29" x14ac:dyDescent="0.3">
      <c r="A26" s="8" t="s">
        <v>28</v>
      </c>
      <c r="B26" s="14"/>
      <c r="C26" s="14"/>
      <c r="D26" s="14"/>
      <c r="E26" s="14"/>
      <c r="F26" s="14"/>
      <c r="G26" s="14"/>
      <c r="H26" s="10"/>
      <c r="I26" s="10"/>
      <c r="J26" s="10"/>
      <c r="K26" s="10"/>
      <c r="L26" s="14"/>
      <c r="M26" s="14"/>
      <c r="N26" s="14"/>
      <c r="O26" s="14"/>
      <c r="P26" s="12"/>
    </row>
    <row r="27" spans="1:29" x14ac:dyDescent="0.3">
      <c r="A27" s="8" t="s">
        <v>36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4"/>
      <c r="M27" s="14"/>
      <c r="N27" s="14"/>
      <c r="O27" s="14"/>
      <c r="P27" s="12"/>
    </row>
    <row r="28" spans="1:29" x14ac:dyDescent="0.3">
      <c r="A28" s="8" t="s">
        <v>37</v>
      </c>
      <c r="B28" s="10"/>
      <c r="C28" s="10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0"/>
      <c r="O28" s="10"/>
      <c r="P28" s="12"/>
    </row>
    <row r="29" spans="1:29" x14ac:dyDescent="0.3">
      <c r="A29" s="8" t="s">
        <v>14</v>
      </c>
      <c r="B29" s="14"/>
      <c r="C29" s="14"/>
      <c r="D29" s="10"/>
      <c r="E29" s="10"/>
      <c r="F29" s="10"/>
      <c r="G29" s="10"/>
      <c r="H29" s="14"/>
      <c r="I29" s="14"/>
      <c r="J29" s="14"/>
      <c r="K29" s="14"/>
      <c r="L29" s="14"/>
      <c r="M29" s="14"/>
      <c r="N29" s="14"/>
      <c r="O29" s="14"/>
      <c r="P29" s="12"/>
    </row>
    <row r="30" spans="1:29" x14ac:dyDescent="0.3">
      <c r="A30" s="15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</row>
    <row r="31" spans="1:29" x14ac:dyDescent="0.3">
      <c r="A31" s="9" t="s">
        <v>16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8"/>
    </row>
    <row r="32" spans="1:29" x14ac:dyDescent="0.3">
      <c r="A32" s="9" t="s">
        <v>17</v>
      </c>
      <c r="B32" s="17"/>
      <c r="C32" s="17"/>
      <c r="D32" s="10"/>
      <c r="E32" s="10"/>
      <c r="F32" s="10"/>
      <c r="G32" s="10"/>
      <c r="H32" s="17"/>
      <c r="I32" s="17"/>
      <c r="J32" s="17"/>
      <c r="K32" s="17"/>
      <c r="L32" s="17"/>
      <c r="M32" s="17"/>
      <c r="N32" s="17"/>
      <c r="O32" s="17"/>
      <c r="P32" s="18"/>
    </row>
    <row r="33" spans="1:16" x14ac:dyDescent="0.3">
      <c r="A33" s="9" t="s">
        <v>21</v>
      </c>
      <c r="B33" s="20"/>
      <c r="C33" s="20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0"/>
      <c r="O33" s="10"/>
      <c r="P33" s="18"/>
    </row>
    <row r="34" spans="1:16" x14ac:dyDescent="0.3">
      <c r="A34" s="19" t="s">
        <v>18</v>
      </c>
      <c r="B34" s="17"/>
      <c r="C34" s="17"/>
      <c r="D34" s="17"/>
      <c r="E34" s="17"/>
      <c r="F34" s="17"/>
      <c r="G34" s="17"/>
      <c r="H34" s="20"/>
      <c r="I34" s="20"/>
      <c r="J34" s="20"/>
      <c r="K34" s="20"/>
      <c r="L34" s="17"/>
      <c r="M34" s="17"/>
      <c r="N34" s="17"/>
      <c r="O34" s="17"/>
      <c r="P34" s="18"/>
    </row>
    <row r="35" spans="1:16" x14ac:dyDescent="0.3">
      <c r="A35" s="8" t="s">
        <v>26</v>
      </c>
      <c r="B35" s="17"/>
      <c r="C35" s="17"/>
      <c r="D35" s="10"/>
      <c r="E35" s="10"/>
      <c r="F35" s="10"/>
      <c r="G35" s="10"/>
      <c r="H35" s="17"/>
      <c r="I35" s="17"/>
      <c r="J35" s="17"/>
      <c r="K35" s="17"/>
      <c r="L35" s="17"/>
      <c r="M35" s="17"/>
      <c r="N35" s="17"/>
      <c r="O35" s="17"/>
      <c r="P35" s="18"/>
    </row>
    <row r="36" spans="1:16" x14ac:dyDescent="0.3">
      <c r="A36" s="8" t="s">
        <v>39</v>
      </c>
      <c r="B36" s="10"/>
      <c r="C36" s="10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0"/>
      <c r="O36" s="10"/>
      <c r="P36" s="18"/>
    </row>
  </sheetData>
  <mergeCells count="46">
    <mergeCell ref="B19:P19"/>
    <mergeCell ref="B21:C21"/>
    <mergeCell ref="D21:E21"/>
    <mergeCell ref="F21:G21"/>
    <mergeCell ref="H21:I21"/>
    <mergeCell ref="J21:K21"/>
    <mergeCell ref="L21:M21"/>
    <mergeCell ref="N21:O21"/>
    <mergeCell ref="B20:P20"/>
    <mergeCell ref="N23:O23"/>
    <mergeCell ref="B23:C23"/>
    <mergeCell ref="D23:E23"/>
    <mergeCell ref="F23:G23"/>
    <mergeCell ref="H23:I23"/>
    <mergeCell ref="J23:K23"/>
    <mergeCell ref="L23:M23"/>
    <mergeCell ref="B22:C22"/>
    <mergeCell ref="D22:E22"/>
    <mergeCell ref="F22:G22"/>
    <mergeCell ref="H22:I22"/>
    <mergeCell ref="J22:K22"/>
    <mergeCell ref="L22:M22"/>
    <mergeCell ref="N22:O22"/>
    <mergeCell ref="N4:O4"/>
    <mergeCell ref="B5:C5"/>
    <mergeCell ref="D5:E5"/>
    <mergeCell ref="F5:G5"/>
    <mergeCell ref="H5:I5"/>
    <mergeCell ref="J5:K5"/>
    <mergeCell ref="L5:M5"/>
    <mergeCell ref="N5:O5"/>
    <mergeCell ref="B4:C4"/>
    <mergeCell ref="D4:E4"/>
    <mergeCell ref="F4:G4"/>
    <mergeCell ref="H4:I4"/>
    <mergeCell ref="J4:K4"/>
    <mergeCell ref="L4:M4"/>
    <mergeCell ref="B1:P1"/>
    <mergeCell ref="B2:P2"/>
    <mergeCell ref="B3:C3"/>
    <mergeCell ref="D3:E3"/>
    <mergeCell ref="F3:G3"/>
    <mergeCell ref="H3:I3"/>
    <mergeCell ref="J3:K3"/>
    <mergeCell ref="L3:M3"/>
    <mergeCell ref="N3:O3"/>
  </mergeCells>
  <pageMargins left="0.7" right="0.7" top="0.75" bottom="0.75" header="0.3" footer="0.3"/>
  <pageSetup paperSize="9" scale="3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0A6CB-4FE8-422D-88F4-8416DACD4D8B}">
  <sheetPr>
    <pageSetUpPr fitToPage="1"/>
  </sheetPr>
  <dimension ref="A1:AD38"/>
  <sheetViews>
    <sheetView workbookViewId="0">
      <selection activeCell="S26" sqref="S26"/>
    </sheetView>
  </sheetViews>
  <sheetFormatPr baseColWidth="10" defaultRowHeight="14.4" x14ac:dyDescent="0.3"/>
  <sheetData>
    <row r="1" spans="1:29" ht="15" thickBot="1" x14ac:dyDescent="0.35">
      <c r="A1" s="1" cm="1">
        <f t="array" aca="1" ref="A1" ca="1">A1:P37</f>
        <v>0</v>
      </c>
      <c r="B1" s="67" t="s">
        <v>0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8"/>
    </row>
    <row r="2" spans="1:29" ht="15" thickBot="1" x14ac:dyDescent="0.35">
      <c r="A2" s="2"/>
      <c r="B2" s="67" t="s">
        <v>40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8"/>
    </row>
    <row r="3" spans="1:29" x14ac:dyDescent="0.3">
      <c r="A3" s="3"/>
      <c r="B3" s="74" t="s">
        <v>1</v>
      </c>
      <c r="C3" s="75"/>
      <c r="D3" s="74" t="s">
        <v>2</v>
      </c>
      <c r="E3" s="75"/>
      <c r="F3" s="74" t="s">
        <v>3</v>
      </c>
      <c r="G3" s="75"/>
      <c r="H3" s="74" t="s">
        <v>4</v>
      </c>
      <c r="I3" s="75"/>
      <c r="J3" s="74" t="s">
        <v>5</v>
      </c>
      <c r="K3" s="75"/>
      <c r="L3" s="74" t="s">
        <v>6</v>
      </c>
      <c r="M3" s="75"/>
      <c r="N3" s="74" t="s">
        <v>7</v>
      </c>
      <c r="O3" s="75"/>
      <c r="P3" s="4" t="s">
        <v>8</v>
      </c>
      <c r="W3" s="5" t="e">
        <f t="shared" ref="W3:W17" si="0">C3-B3</f>
        <v>#VALUE!</v>
      </c>
      <c r="X3" s="5" t="e">
        <f t="shared" ref="X3:X17" si="1">E3-D3</f>
        <v>#VALUE!</v>
      </c>
      <c r="Y3" s="5" t="e">
        <f t="shared" ref="Y3:Y17" si="2">G3-F3</f>
        <v>#VALUE!</v>
      </c>
      <c r="Z3" s="5" t="e">
        <f t="shared" ref="Z3:Z17" si="3">I3-H3</f>
        <v>#VALUE!</v>
      </c>
      <c r="AA3" s="5" t="e">
        <f t="shared" ref="AA3:AA17" si="4">K3-J3</f>
        <v>#VALUE!</v>
      </c>
      <c r="AB3" s="5" t="e">
        <f t="shared" ref="AB3:AB17" si="5">M3-L3</f>
        <v>#VALUE!</v>
      </c>
      <c r="AC3" s="5" t="e">
        <f t="shared" ref="AC3:AC17" si="6">O3-N3</f>
        <v>#VALUE!</v>
      </c>
    </row>
    <row r="4" spans="1:29" x14ac:dyDescent="0.3">
      <c r="A4" s="6"/>
      <c r="B4" s="72">
        <v>46090</v>
      </c>
      <c r="C4" s="73"/>
      <c r="D4" s="72">
        <v>46091</v>
      </c>
      <c r="E4" s="73"/>
      <c r="F4" s="72">
        <v>46092</v>
      </c>
      <c r="G4" s="73"/>
      <c r="H4" s="72">
        <v>46093</v>
      </c>
      <c r="I4" s="73"/>
      <c r="J4" s="72">
        <v>46094</v>
      </c>
      <c r="K4" s="73"/>
      <c r="L4" s="72">
        <v>46095</v>
      </c>
      <c r="M4" s="73"/>
      <c r="N4" s="72">
        <v>46096</v>
      </c>
      <c r="O4" s="73"/>
      <c r="P4" s="7"/>
      <c r="W4" s="5">
        <f t="shared" si="0"/>
        <v>-46090</v>
      </c>
      <c r="X4" s="5">
        <f t="shared" si="1"/>
        <v>-46091</v>
      </c>
      <c r="Y4" s="5">
        <f t="shared" si="2"/>
        <v>-46092</v>
      </c>
      <c r="Z4" s="5">
        <f t="shared" si="3"/>
        <v>-46093</v>
      </c>
      <c r="AA4" s="5">
        <f t="shared" si="4"/>
        <v>-46094</v>
      </c>
      <c r="AB4" s="5">
        <f t="shared" si="5"/>
        <v>-46095</v>
      </c>
      <c r="AC4" s="5">
        <f t="shared" si="6"/>
        <v>-46096</v>
      </c>
    </row>
    <row r="5" spans="1:29" x14ac:dyDescent="0.3">
      <c r="A5" s="8" t="s">
        <v>9</v>
      </c>
      <c r="B5" s="72"/>
      <c r="C5" s="73"/>
      <c r="D5" s="72"/>
      <c r="E5" s="73"/>
      <c r="F5" s="72"/>
      <c r="G5" s="73"/>
      <c r="H5" s="72"/>
      <c r="I5" s="73"/>
      <c r="J5" s="72"/>
      <c r="K5" s="73"/>
      <c r="L5" s="72"/>
      <c r="M5" s="73"/>
      <c r="N5" s="72"/>
      <c r="O5" s="73"/>
      <c r="P5" s="7"/>
      <c r="W5" s="5">
        <f t="shared" si="0"/>
        <v>0</v>
      </c>
      <c r="X5" s="5">
        <f t="shared" si="1"/>
        <v>0</v>
      </c>
      <c r="Y5" s="5">
        <f t="shared" si="2"/>
        <v>0</v>
      </c>
      <c r="Z5" s="5">
        <f t="shared" si="3"/>
        <v>0</v>
      </c>
      <c r="AA5" s="5">
        <f t="shared" si="4"/>
        <v>0</v>
      </c>
      <c r="AB5" s="5">
        <f t="shared" si="5"/>
        <v>0</v>
      </c>
      <c r="AC5" s="5">
        <f t="shared" si="6"/>
        <v>0</v>
      </c>
    </row>
    <row r="6" spans="1:29" x14ac:dyDescent="0.3">
      <c r="A6" s="9" t="s">
        <v>10</v>
      </c>
      <c r="B6" s="11">
        <v>0.41666666666666669</v>
      </c>
      <c r="C6" s="11">
        <v>0.70833333333333337</v>
      </c>
      <c r="D6" s="11">
        <v>0.39583333333333331</v>
      </c>
      <c r="E6" s="11">
        <v>0.72916666666666663</v>
      </c>
      <c r="F6" s="11">
        <v>0.375</v>
      </c>
      <c r="G6" s="11">
        <v>0.72916666666666663</v>
      </c>
      <c r="H6" s="11">
        <v>0.41666666666666669</v>
      </c>
      <c r="I6" s="11">
        <v>0.72916666666666663</v>
      </c>
      <c r="J6" s="11">
        <v>0.375</v>
      </c>
      <c r="K6" s="11">
        <v>0.70833333333333337</v>
      </c>
      <c r="L6" s="10"/>
      <c r="M6" s="10"/>
      <c r="N6" s="10"/>
      <c r="O6" s="10"/>
      <c r="P6" s="12">
        <f>W6+X6+Y6+Z6+AA6+AB6+AC6</f>
        <v>1.625</v>
      </c>
      <c r="W6" s="5">
        <f t="shared" si="0"/>
        <v>0.29166666666666669</v>
      </c>
      <c r="X6" s="5">
        <f t="shared" si="1"/>
        <v>0.33333333333333331</v>
      </c>
      <c r="Y6" s="5">
        <f t="shared" si="2"/>
        <v>0.35416666666666663</v>
      </c>
      <c r="Z6" s="5">
        <f t="shared" si="3"/>
        <v>0.31249999999999994</v>
      </c>
      <c r="AA6" s="5">
        <f t="shared" si="4"/>
        <v>0.33333333333333337</v>
      </c>
      <c r="AB6" s="5">
        <f t="shared" si="5"/>
        <v>0</v>
      </c>
      <c r="AC6" s="5">
        <f t="shared" si="6"/>
        <v>0</v>
      </c>
    </row>
    <row r="7" spans="1:29" x14ac:dyDescent="0.3">
      <c r="A7" s="13" t="s">
        <v>12</v>
      </c>
      <c r="B7" s="21">
        <v>0.41666666666666669</v>
      </c>
      <c r="C7" s="21">
        <v>0.70833333333333337</v>
      </c>
      <c r="D7" s="21">
        <v>0.41666666666666669</v>
      </c>
      <c r="E7" s="21">
        <v>0.70833333333333337</v>
      </c>
      <c r="F7" s="21">
        <v>0.41666666666666669</v>
      </c>
      <c r="G7" s="21">
        <v>0.70833333333333337</v>
      </c>
      <c r="H7" s="21">
        <v>0.41666666666666669</v>
      </c>
      <c r="I7" s="21">
        <v>0.70833333333333337</v>
      </c>
      <c r="J7" s="21">
        <v>0.41666666666666669</v>
      </c>
      <c r="K7" s="21">
        <v>0.70833333333333337</v>
      </c>
      <c r="L7" s="10"/>
      <c r="M7" s="10"/>
      <c r="N7" s="10"/>
      <c r="O7" s="10"/>
      <c r="P7" s="12">
        <f>W7+X7+Y7+Z7+AA7+AB7+AC7</f>
        <v>1.4583333333333335</v>
      </c>
      <c r="W7" s="5">
        <f t="shared" si="0"/>
        <v>0.29166666666666669</v>
      </c>
      <c r="X7" s="5">
        <f t="shared" si="1"/>
        <v>0.29166666666666669</v>
      </c>
      <c r="Y7" s="5">
        <f t="shared" si="2"/>
        <v>0.29166666666666669</v>
      </c>
      <c r="Z7" s="5">
        <f t="shared" si="3"/>
        <v>0.29166666666666669</v>
      </c>
      <c r="AA7" s="5">
        <f t="shared" si="4"/>
        <v>0.29166666666666669</v>
      </c>
      <c r="AB7" s="5">
        <f t="shared" si="5"/>
        <v>0</v>
      </c>
      <c r="AC7" s="5">
        <f t="shared" si="6"/>
        <v>0</v>
      </c>
    </row>
    <row r="8" spans="1:29" x14ac:dyDescent="0.3">
      <c r="A8" s="8" t="s">
        <v>28</v>
      </c>
      <c r="B8" s="14">
        <v>0.39583333333333331</v>
      </c>
      <c r="C8" s="14">
        <v>0.72916666666666663</v>
      </c>
      <c r="D8" s="14">
        <v>0.39583333333333331</v>
      </c>
      <c r="E8" s="14">
        <v>0.72916666666666663</v>
      </c>
      <c r="F8" s="14">
        <v>0.375</v>
      </c>
      <c r="G8" s="14">
        <v>0.70833333333333337</v>
      </c>
      <c r="H8" s="10"/>
      <c r="I8" s="10"/>
      <c r="J8" s="10"/>
      <c r="K8" s="10"/>
      <c r="L8" s="14">
        <v>0.39583333333333331</v>
      </c>
      <c r="M8" s="14">
        <v>0.70833333333333337</v>
      </c>
      <c r="N8" s="14">
        <v>0.39583333333333331</v>
      </c>
      <c r="O8" s="14">
        <v>0.70833333333333337</v>
      </c>
      <c r="P8" s="12">
        <f t="shared" ref="P8:P12" si="7">W8+X8+Y8+Z8+AA8+AB8+AC8</f>
        <v>1.625</v>
      </c>
      <c r="W8" s="5">
        <f t="shared" si="0"/>
        <v>0.33333333333333331</v>
      </c>
      <c r="X8" s="5">
        <f t="shared" si="1"/>
        <v>0.33333333333333331</v>
      </c>
      <c r="Y8" s="5">
        <f t="shared" si="2"/>
        <v>0.33333333333333337</v>
      </c>
      <c r="Z8" s="5">
        <f t="shared" si="3"/>
        <v>0</v>
      </c>
      <c r="AA8" s="5">
        <f t="shared" si="4"/>
        <v>0</v>
      </c>
      <c r="AB8" s="5">
        <f t="shared" si="5"/>
        <v>0.31250000000000006</v>
      </c>
      <c r="AC8" s="5">
        <f t="shared" si="6"/>
        <v>0.31250000000000006</v>
      </c>
    </row>
    <row r="9" spans="1:29" x14ac:dyDescent="0.3">
      <c r="A9" s="8" t="s">
        <v>36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4">
        <v>0.48958333333333331</v>
      </c>
      <c r="M9" s="14">
        <v>0.63541666666666663</v>
      </c>
      <c r="N9" s="14">
        <v>0.48958333333333331</v>
      </c>
      <c r="O9" s="14">
        <v>0.63541666666666663</v>
      </c>
      <c r="P9" s="12">
        <f t="shared" si="7"/>
        <v>0.29166666666666663</v>
      </c>
      <c r="W9" s="5">
        <f t="shared" si="0"/>
        <v>0</v>
      </c>
      <c r="X9" s="5">
        <f t="shared" si="1"/>
        <v>0</v>
      </c>
      <c r="Y9" s="5">
        <f t="shared" si="2"/>
        <v>0</v>
      </c>
      <c r="Z9" s="5">
        <f t="shared" si="3"/>
        <v>0</v>
      </c>
      <c r="AA9" s="5">
        <f t="shared" si="4"/>
        <v>0</v>
      </c>
      <c r="AB9" s="5">
        <f t="shared" si="5"/>
        <v>0.14583333333333331</v>
      </c>
      <c r="AC9" s="5">
        <f t="shared" si="6"/>
        <v>0.14583333333333331</v>
      </c>
    </row>
    <row r="10" spans="1:29" x14ac:dyDescent="0.3">
      <c r="A10" s="8" t="s">
        <v>37</v>
      </c>
      <c r="B10" s="10"/>
      <c r="C10" s="10"/>
      <c r="D10" s="14">
        <v>0.39583333333333331</v>
      </c>
      <c r="E10" s="14">
        <v>0.70833333333333337</v>
      </c>
      <c r="F10" s="14">
        <v>0.375</v>
      </c>
      <c r="G10" s="14">
        <v>0.72916666666666663</v>
      </c>
      <c r="H10" s="14">
        <v>0.39583333333333331</v>
      </c>
      <c r="I10" s="14">
        <v>0.72916666666666663</v>
      </c>
      <c r="J10" s="14">
        <v>0.375</v>
      </c>
      <c r="K10" s="14">
        <v>0.70833333333333337</v>
      </c>
      <c r="L10" s="14">
        <v>0.41666666666666669</v>
      </c>
      <c r="M10" s="14">
        <v>0.70833333333333337</v>
      </c>
      <c r="N10" s="10"/>
      <c r="O10" s="10"/>
      <c r="P10" s="12">
        <f t="shared" si="7"/>
        <v>1.6250000000000002</v>
      </c>
      <c r="W10" s="5">
        <f t="shared" si="0"/>
        <v>0</v>
      </c>
      <c r="X10" s="5">
        <f t="shared" si="1"/>
        <v>0.31250000000000006</v>
      </c>
      <c r="Y10" s="5">
        <f t="shared" si="2"/>
        <v>0.35416666666666663</v>
      </c>
      <c r="Z10" s="5">
        <f t="shared" si="3"/>
        <v>0.33333333333333331</v>
      </c>
      <c r="AA10" s="5">
        <f t="shared" si="4"/>
        <v>0.33333333333333337</v>
      </c>
      <c r="AB10" s="5">
        <f t="shared" si="5"/>
        <v>0.29166666666666669</v>
      </c>
      <c r="AC10" s="5">
        <f t="shared" si="6"/>
        <v>0</v>
      </c>
    </row>
    <row r="11" spans="1:29" x14ac:dyDescent="0.3">
      <c r="A11" s="8" t="s">
        <v>42</v>
      </c>
      <c r="B11" s="14">
        <v>0.39583333333333331</v>
      </c>
      <c r="C11" s="14">
        <v>0.72916666666666663</v>
      </c>
      <c r="D11" s="14">
        <v>0.39583333333333331</v>
      </c>
      <c r="E11" s="14">
        <v>0.70833333333333337</v>
      </c>
      <c r="F11" s="10"/>
      <c r="G11" s="10"/>
      <c r="H11" s="10"/>
      <c r="I11" s="10"/>
      <c r="J11" s="14">
        <v>0.39583333333333331</v>
      </c>
      <c r="K11" s="14">
        <v>0.72916666666666663</v>
      </c>
      <c r="L11" s="14">
        <v>0.39583333333333331</v>
      </c>
      <c r="M11" s="14">
        <v>0.72916666666666663</v>
      </c>
      <c r="N11" s="14">
        <v>0.39583333333333331</v>
      </c>
      <c r="O11" s="14">
        <v>0.70833333333333337</v>
      </c>
      <c r="P11" s="12">
        <f t="shared" si="7"/>
        <v>1.625</v>
      </c>
      <c r="W11" s="5">
        <f t="shared" ref="W11" si="8">C11-B11</f>
        <v>0.33333333333333331</v>
      </c>
      <c r="X11" s="5">
        <f t="shared" ref="X11" si="9">E11-D11</f>
        <v>0.31250000000000006</v>
      </c>
      <c r="Y11" s="5">
        <f t="shared" ref="Y11" si="10">G11-F11</f>
        <v>0</v>
      </c>
      <c r="Z11" s="5">
        <f t="shared" ref="Z11" si="11">I11-H11</f>
        <v>0</v>
      </c>
      <c r="AA11" s="5">
        <f t="shared" ref="AA11" si="12">K11-J11</f>
        <v>0.33333333333333331</v>
      </c>
      <c r="AB11" s="5">
        <f t="shared" ref="AB11" si="13">M11-L11</f>
        <v>0.33333333333333331</v>
      </c>
      <c r="AC11" s="5">
        <f t="shared" ref="AC11" si="14">O11-N11</f>
        <v>0.31250000000000006</v>
      </c>
    </row>
    <row r="12" spans="1:29" x14ac:dyDescent="0.3">
      <c r="A12" s="8" t="s">
        <v>14</v>
      </c>
      <c r="B12" s="14">
        <v>0.39583333333333331</v>
      </c>
      <c r="C12" s="14">
        <v>0.70833333333333337</v>
      </c>
      <c r="D12" s="10"/>
      <c r="E12" s="10"/>
      <c r="F12" s="10"/>
      <c r="G12" s="10"/>
      <c r="H12" s="14">
        <v>0.39583333333333331</v>
      </c>
      <c r="I12" s="14">
        <v>0.72916666666666663</v>
      </c>
      <c r="J12" s="14">
        <v>0.375</v>
      </c>
      <c r="K12" s="14">
        <v>0.70833333333333337</v>
      </c>
      <c r="L12" s="14">
        <v>0.39583333333333331</v>
      </c>
      <c r="M12" s="14">
        <v>0.72916666666666663</v>
      </c>
      <c r="N12" s="14">
        <v>0.39583333333333331</v>
      </c>
      <c r="O12" s="14">
        <v>0.70833333333333337</v>
      </c>
      <c r="P12" s="12">
        <f t="shared" si="7"/>
        <v>1.625</v>
      </c>
      <c r="W12" s="5">
        <f t="shared" si="0"/>
        <v>0.31250000000000006</v>
      </c>
      <c r="X12" s="5">
        <f t="shared" si="1"/>
        <v>0</v>
      </c>
      <c r="Y12" s="5">
        <f t="shared" si="2"/>
        <v>0</v>
      </c>
      <c r="Z12" s="5">
        <f t="shared" si="3"/>
        <v>0.33333333333333331</v>
      </c>
      <c r="AA12" s="5">
        <f t="shared" si="4"/>
        <v>0.33333333333333337</v>
      </c>
      <c r="AB12" s="5">
        <f t="shared" si="5"/>
        <v>0.33333333333333331</v>
      </c>
      <c r="AC12" s="5">
        <f t="shared" si="6"/>
        <v>0.31250000000000006</v>
      </c>
    </row>
    <row r="13" spans="1:29" x14ac:dyDescent="0.3">
      <c r="A13" s="15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W13" s="5">
        <f t="shared" si="0"/>
        <v>0</v>
      </c>
      <c r="X13" s="5">
        <f t="shared" si="1"/>
        <v>0</v>
      </c>
      <c r="Y13" s="5">
        <f t="shared" si="2"/>
        <v>0</v>
      </c>
      <c r="Z13" s="5">
        <f t="shared" si="3"/>
        <v>0</v>
      </c>
      <c r="AA13" s="5">
        <f t="shared" si="4"/>
        <v>0</v>
      </c>
      <c r="AB13" s="5">
        <f t="shared" si="5"/>
        <v>0</v>
      </c>
      <c r="AC13" s="5">
        <f t="shared" si="6"/>
        <v>0</v>
      </c>
    </row>
    <row r="14" spans="1:29" x14ac:dyDescent="0.3">
      <c r="A14" s="9" t="s">
        <v>16</v>
      </c>
      <c r="B14" s="10"/>
      <c r="C14" s="10"/>
      <c r="D14" s="17">
        <v>0.70833333333333337</v>
      </c>
      <c r="E14" s="17">
        <v>1.0625</v>
      </c>
      <c r="F14" s="17">
        <v>0.72916666666666663</v>
      </c>
      <c r="G14" s="17">
        <v>1.0625</v>
      </c>
      <c r="H14" s="17">
        <v>0.70833333333333304</v>
      </c>
      <c r="I14" s="17">
        <v>1.0625</v>
      </c>
      <c r="J14" s="17">
        <v>0.70833333333333304</v>
      </c>
      <c r="K14" s="17">
        <v>1.0625</v>
      </c>
      <c r="L14" s="17">
        <v>0.70833333333333304</v>
      </c>
      <c r="M14" s="17">
        <v>1.0625</v>
      </c>
      <c r="N14" s="10"/>
      <c r="O14" s="10"/>
      <c r="P14" s="18">
        <f t="shared" ref="P14:P15" si="15">W14+X14+Y14+Z14+AA14+AB14+AC14</f>
        <v>1.7500000000000009</v>
      </c>
      <c r="W14" s="5">
        <f t="shared" si="0"/>
        <v>0</v>
      </c>
      <c r="X14" s="5">
        <f t="shared" si="1"/>
        <v>0.35416666666666663</v>
      </c>
      <c r="Y14" s="5">
        <f t="shared" si="2"/>
        <v>0.33333333333333337</v>
      </c>
      <c r="Z14" s="5">
        <f t="shared" si="3"/>
        <v>0.35416666666666696</v>
      </c>
      <c r="AA14" s="5">
        <f t="shared" si="4"/>
        <v>0.35416666666666696</v>
      </c>
      <c r="AB14" s="5">
        <f t="shared" si="5"/>
        <v>0.35416666666666696</v>
      </c>
      <c r="AC14" s="5">
        <f t="shared" si="6"/>
        <v>0</v>
      </c>
    </row>
    <row r="15" spans="1:29" x14ac:dyDescent="0.3">
      <c r="A15" s="9" t="s">
        <v>17</v>
      </c>
      <c r="B15" s="17">
        <v>0.70833333333333337</v>
      </c>
      <c r="C15" s="17">
        <v>1.0208333333333299</v>
      </c>
      <c r="D15" s="10"/>
      <c r="E15" s="10"/>
      <c r="F15" s="10"/>
      <c r="G15" s="10"/>
      <c r="H15" s="17">
        <v>0.70833333333333337</v>
      </c>
      <c r="I15" s="17">
        <v>1.0625</v>
      </c>
      <c r="J15" s="17">
        <v>0.70833333333333304</v>
      </c>
      <c r="K15" s="17">
        <v>1.0625</v>
      </c>
      <c r="L15" s="17">
        <v>0.6875</v>
      </c>
      <c r="M15" s="17">
        <v>1.0625</v>
      </c>
      <c r="N15" s="17">
        <v>0.66666666666666663</v>
      </c>
      <c r="O15" s="17">
        <v>1.0208333333333333</v>
      </c>
      <c r="P15" s="18">
        <f t="shared" si="15"/>
        <v>1.7499999999999969</v>
      </c>
      <c r="W15" s="5">
        <f t="shared" si="0"/>
        <v>0.31249999999999656</v>
      </c>
      <c r="X15" s="5">
        <f t="shared" si="1"/>
        <v>0</v>
      </c>
      <c r="Y15" s="5">
        <f t="shared" si="2"/>
        <v>0</v>
      </c>
      <c r="Z15" s="5">
        <f t="shared" si="3"/>
        <v>0.35416666666666663</v>
      </c>
      <c r="AA15" s="5">
        <f t="shared" si="4"/>
        <v>0.35416666666666696</v>
      </c>
      <c r="AB15" s="5">
        <f t="shared" si="5"/>
        <v>0.375</v>
      </c>
      <c r="AC15" s="5">
        <f t="shared" si="6"/>
        <v>0.35416666666666663</v>
      </c>
    </row>
    <row r="16" spans="1:29" x14ac:dyDescent="0.3">
      <c r="A16" s="9" t="s">
        <v>21</v>
      </c>
      <c r="B16" s="20"/>
      <c r="C16" s="20"/>
      <c r="D16" s="17">
        <v>0.70833333333333337</v>
      </c>
      <c r="E16" s="17">
        <v>1.0625</v>
      </c>
      <c r="F16" s="17">
        <v>0.70833333333333337</v>
      </c>
      <c r="G16" s="17">
        <v>1.0625</v>
      </c>
      <c r="H16" s="17">
        <v>0.72916666666666663</v>
      </c>
      <c r="I16" s="17">
        <v>1.0625</v>
      </c>
      <c r="J16" s="17">
        <v>0.70833333333333337</v>
      </c>
      <c r="K16" s="17">
        <v>1.0625</v>
      </c>
      <c r="L16" s="17">
        <v>0.70833333333333337</v>
      </c>
      <c r="M16" s="17">
        <v>1.0625</v>
      </c>
      <c r="N16" s="10"/>
      <c r="O16" s="10"/>
      <c r="P16" s="18">
        <f>W16+X16+Y16+Z16+AA16+AB16+AC16</f>
        <v>1.7499999999999996</v>
      </c>
      <c r="W16" s="5">
        <f t="shared" si="0"/>
        <v>0</v>
      </c>
      <c r="X16" s="5">
        <f t="shared" si="1"/>
        <v>0.35416666666666663</v>
      </c>
      <c r="Y16" s="5">
        <f t="shared" si="2"/>
        <v>0.35416666666666663</v>
      </c>
      <c r="Z16" s="5">
        <f t="shared" si="3"/>
        <v>0.33333333333333337</v>
      </c>
      <c r="AA16" s="5">
        <f t="shared" si="4"/>
        <v>0.35416666666666663</v>
      </c>
      <c r="AB16" s="5">
        <f t="shared" si="5"/>
        <v>0.35416666666666663</v>
      </c>
      <c r="AC16" s="5">
        <f t="shared" si="6"/>
        <v>0</v>
      </c>
    </row>
    <row r="17" spans="1:30" x14ac:dyDescent="0.3">
      <c r="A17" s="19" t="s">
        <v>18</v>
      </c>
      <c r="B17" s="17">
        <v>0.72916666666666663</v>
      </c>
      <c r="C17" s="17">
        <v>1.0208333333333299</v>
      </c>
      <c r="D17" s="17">
        <v>0.70833333333333337</v>
      </c>
      <c r="E17" s="17">
        <v>1.0625</v>
      </c>
      <c r="F17" s="17">
        <v>0.75</v>
      </c>
      <c r="G17" s="17">
        <v>1.0625</v>
      </c>
      <c r="H17" s="20"/>
      <c r="I17" s="20"/>
      <c r="J17" s="20"/>
      <c r="K17" s="20"/>
      <c r="L17" s="17">
        <v>0.70833333333333337</v>
      </c>
      <c r="M17" s="17">
        <v>1.0625</v>
      </c>
      <c r="N17" s="17">
        <v>0.70833333333333337</v>
      </c>
      <c r="O17" s="17">
        <v>1.0208333333333333</v>
      </c>
      <c r="P17" s="18">
        <f t="shared" ref="P17:P19" si="16">W17+X17+Y17+Z17+AA17+AB17+AC17</f>
        <v>1.6249999999999964</v>
      </c>
      <c r="W17" s="5">
        <f t="shared" si="0"/>
        <v>0.2916666666666633</v>
      </c>
      <c r="X17" s="5">
        <f t="shared" si="1"/>
        <v>0.35416666666666663</v>
      </c>
      <c r="Y17" s="5">
        <f t="shared" si="2"/>
        <v>0.3125</v>
      </c>
      <c r="Z17" s="5">
        <f t="shared" si="3"/>
        <v>0</v>
      </c>
      <c r="AA17" s="5">
        <f t="shared" si="4"/>
        <v>0</v>
      </c>
      <c r="AB17" s="5">
        <f t="shared" si="5"/>
        <v>0.35416666666666663</v>
      </c>
      <c r="AC17" s="5">
        <f t="shared" si="6"/>
        <v>0.31249999999999989</v>
      </c>
    </row>
    <row r="18" spans="1:30" x14ac:dyDescent="0.3">
      <c r="A18" s="8" t="s">
        <v>26</v>
      </c>
      <c r="B18" s="17">
        <v>0.72916666666666663</v>
      </c>
      <c r="C18" s="17">
        <v>1.0208333333333333</v>
      </c>
      <c r="D18" s="10"/>
      <c r="E18" s="10"/>
      <c r="F18" s="10"/>
      <c r="G18" s="10"/>
      <c r="H18" s="17">
        <v>0.75</v>
      </c>
      <c r="I18" s="17">
        <v>1.0625</v>
      </c>
      <c r="J18" s="17">
        <v>0.75</v>
      </c>
      <c r="K18" s="17">
        <v>1.0625</v>
      </c>
      <c r="L18" s="17">
        <v>0.70833333333333337</v>
      </c>
      <c r="M18" s="17">
        <v>1.0625</v>
      </c>
      <c r="N18" s="17">
        <v>0.66666666666666663</v>
      </c>
      <c r="O18" s="17">
        <v>1.0208333333333333</v>
      </c>
      <c r="P18" s="18">
        <f t="shared" si="16"/>
        <v>1.625</v>
      </c>
      <c r="W18" s="5">
        <f>C18-B18</f>
        <v>0.29166666666666663</v>
      </c>
      <c r="X18" s="5">
        <f>E18-D18</f>
        <v>0</v>
      </c>
      <c r="Y18" s="5">
        <f>G18-F18</f>
        <v>0</v>
      </c>
      <c r="Z18" s="5">
        <f>I18-H18</f>
        <v>0.3125</v>
      </c>
      <c r="AA18" s="5">
        <f>K18-J18</f>
        <v>0.3125</v>
      </c>
      <c r="AB18" s="5">
        <f>M18-L18</f>
        <v>0.35416666666666663</v>
      </c>
      <c r="AC18" s="5">
        <f>O18-N18</f>
        <v>0.35416666666666663</v>
      </c>
    </row>
    <row r="19" spans="1:30" ht="15" thickBot="1" x14ac:dyDescent="0.35">
      <c r="A19" s="8" t="s">
        <v>41</v>
      </c>
      <c r="B19" s="10"/>
      <c r="C19" s="10"/>
      <c r="D19" s="17">
        <v>0.75</v>
      </c>
      <c r="E19" s="17">
        <v>1.0625</v>
      </c>
      <c r="F19" s="17">
        <v>0.72916666666666663</v>
      </c>
      <c r="G19" s="17">
        <v>1.0625</v>
      </c>
      <c r="H19" s="17">
        <v>0.75</v>
      </c>
      <c r="I19" s="17">
        <v>1.0625</v>
      </c>
      <c r="J19" s="17">
        <v>0.75</v>
      </c>
      <c r="K19" s="17">
        <v>1.0625</v>
      </c>
      <c r="L19" s="17">
        <v>0.70833333333333337</v>
      </c>
      <c r="M19" s="17">
        <v>1.0625</v>
      </c>
      <c r="N19" s="10"/>
      <c r="O19" s="10"/>
      <c r="P19" s="18">
        <f t="shared" si="16"/>
        <v>1.625</v>
      </c>
      <c r="W19" s="5">
        <f>C19-B19</f>
        <v>0</v>
      </c>
      <c r="X19" s="5">
        <f>E19-D19</f>
        <v>0.3125</v>
      </c>
      <c r="Y19" s="5">
        <f>G19-F19</f>
        <v>0.33333333333333337</v>
      </c>
      <c r="Z19" s="5">
        <f>I19-H19</f>
        <v>0.3125</v>
      </c>
      <c r="AA19" s="5">
        <f>K19-J19</f>
        <v>0.3125</v>
      </c>
      <c r="AB19" s="5">
        <f>M19-L19</f>
        <v>0.35416666666666663</v>
      </c>
      <c r="AC19" s="5">
        <f>O19-N19</f>
        <v>0</v>
      </c>
    </row>
    <row r="20" spans="1:30" ht="15" thickBot="1" x14ac:dyDescent="0.35">
      <c r="A20" s="1" t="e" cm="1">
        <f t="array" ref="A20">+A20:PA20:P+A20:P363628A1:P2A1:P49</f>
        <v>#NAME?</v>
      </c>
      <c r="B20" s="67" t="s">
        <v>0</v>
      </c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8"/>
      <c r="W20" s="5" t="e">
        <f t="shared" ref="W20" si="17">C20-B20</f>
        <v>#VALUE!</v>
      </c>
      <c r="X20" s="5">
        <f t="shared" ref="X20" si="18">E20-D20</f>
        <v>0</v>
      </c>
      <c r="Y20" s="5">
        <f t="shared" ref="Y20" si="19">G20-F20</f>
        <v>0</v>
      </c>
      <c r="Z20" s="5">
        <f t="shared" ref="Z20" si="20">I20-H20</f>
        <v>0</v>
      </c>
      <c r="AA20" s="5">
        <f t="shared" ref="AA20" si="21">K20-J20</f>
        <v>0</v>
      </c>
      <c r="AB20" s="5">
        <f t="shared" ref="AB20" si="22">M20-L20</f>
        <v>0</v>
      </c>
      <c r="AC20" s="5">
        <f t="shared" ref="AC20" si="23">O20-N20</f>
        <v>0</v>
      </c>
    </row>
    <row r="21" spans="1:30" ht="15" thickBot="1" x14ac:dyDescent="0.35">
      <c r="A21" s="2"/>
      <c r="B21" s="67" t="s">
        <v>40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8"/>
    </row>
    <row r="22" spans="1:30" x14ac:dyDescent="0.3">
      <c r="A22" s="3"/>
      <c r="B22" s="74" t="s">
        <v>1</v>
      </c>
      <c r="C22" s="75"/>
      <c r="D22" s="74" t="s">
        <v>2</v>
      </c>
      <c r="E22" s="75"/>
      <c r="F22" s="74" t="s">
        <v>3</v>
      </c>
      <c r="G22" s="75"/>
      <c r="H22" s="74" t="s">
        <v>4</v>
      </c>
      <c r="I22" s="75"/>
      <c r="J22" s="74" t="s">
        <v>5</v>
      </c>
      <c r="K22" s="75"/>
      <c r="L22" s="74" t="s">
        <v>6</v>
      </c>
      <c r="M22" s="75"/>
      <c r="N22" s="74" t="s">
        <v>7</v>
      </c>
      <c r="O22" s="75"/>
      <c r="P22" s="4" t="s">
        <v>8</v>
      </c>
    </row>
    <row r="23" spans="1:30" x14ac:dyDescent="0.3">
      <c r="A23" s="6"/>
      <c r="B23" s="72">
        <v>46090</v>
      </c>
      <c r="C23" s="73"/>
      <c r="D23" s="72">
        <v>46091</v>
      </c>
      <c r="E23" s="73"/>
      <c r="F23" s="72">
        <v>46092</v>
      </c>
      <c r="G23" s="73"/>
      <c r="H23" s="72">
        <v>46093</v>
      </c>
      <c r="I23" s="73"/>
      <c r="J23" s="72">
        <v>46094</v>
      </c>
      <c r="K23" s="73"/>
      <c r="L23" s="72">
        <v>46095</v>
      </c>
      <c r="M23" s="73"/>
      <c r="N23" s="72">
        <v>46096</v>
      </c>
      <c r="O23" s="73"/>
      <c r="P23" s="7"/>
    </row>
    <row r="24" spans="1:30" x14ac:dyDescent="0.3">
      <c r="A24" s="8" t="s">
        <v>9</v>
      </c>
      <c r="B24" s="72"/>
      <c r="C24" s="73"/>
      <c r="D24" s="72"/>
      <c r="E24" s="73"/>
      <c r="F24" s="72"/>
      <c r="G24" s="73"/>
      <c r="H24" s="72"/>
      <c r="I24" s="73"/>
      <c r="J24" s="72"/>
      <c r="K24" s="73"/>
      <c r="L24" s="72"/>
      <c r="M24" s="73"/>
      <c r="N24" s="72"/>
      <c r="O24" s="73"/>
      <c r="P24" s="7"/>
    </row>
    <row r="25" spans="1:30" x14ac:dyDescent="0.3">
      <c r="A25" s="9" t="s">
        <v>10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0"/>
      <c r="M25" s="10"/>
      <c r="N25" s="10"/>
      <c r="O25" s="10"/>
      <c r="P25" s="12"/>
    </row>
    <row r="26" spans="1:30" x14ac:dyDescent="0.3">
      <c r="A26" s="13" t="s">
        <v>12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10"/>
      <c r="M26" s="10"/>
      <c r="N26" s="10"/>
      <c r="O26" s="10"/>
      <c r="P26" s="12"/>
    </row>
    <row r="27" spans="1:30" x14ac:dyDescent="0.3">
      <c r="A27" s="8" t="s">
        <v>28</v>
      </c>
      <c r="B27" s="14"/>
      <c r="C27" s="14"/>
      <c r="D27" s="14"/>
      <c r="E27" s="14"/>
      <c r="F27" s="14"/>
      <c r="G27" s="14"/>
      <c r="H27" s="10"/>
      <c r="I27" s="10"/>
      <c r="J27" s="10"/>
      <c r="K27" s="10"/>
      <c r="L27" s="14"/>
      <c r="M27" s="14"/>
      <c r="N27" s="14"/>
      <c r="O27" s="14"/>
      <c r="P27" s="12"/>
    </row>
    <row r="28" spans="1:30" x14ac:dyDescent="0.3">
      <c r="A28" s="8" t="s">
        <v>36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4"/>
      <c r="M28" s="14"/>
      <c r="N28" s="14"/>
      <c r="O28" s="14"/>
      <c r="P28" s="12"/>
    </row>
    <row r="29" spans="1:30" x14ac:dyDescent="0.3">
      <c r="A29" s="8" t="s">
        <v>37</v>
      </c>
      <c r="B29" s="10"/>
      <c r="C29" s="10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0"/>
      <c r="O29" s="10"/>
      <c r="P29" s="12"/>
    </row>
    <row r="30" spans="1:30" x14ac:dyDescent="0.3">
      <c r="A30" s="8" t="s">
        <v>42</v>
      </c>
      <c r="B30" s="14"/>
      <c r="C30" s="14"/>
      <c r="D30" s="14"/>
      <c r="E30" s="14"/>
      <c r="F30" s="10"/>
      <c r="G30" s="10"/>
      <c r="H30" s="10"/>
      <c r="I30" s="10"/>
      <c r="J30" s="14"/>
      <c r="K30" s="14"/>
      <c r="L30" s="14"/>
      <c r="M30" s="14"/>
      <c r="N30" s="14"/>
      <c r="O30" s="14"/>
      <c r="P30" s="12"/>
    </row>
    <row r="31" spans="1:30" x14ac:dyDescent="0.3">
      <c r="A31" s="8" t="s">
        <v>14</v>
      </c>
      <c r="B31" s="14"/>
      <c r="C31" s="14"/>
      <c r="D31" s="10"/>
      <c r="E31" s="10"/>
      <c r="F31" s="10"/>
      <c r="G31" s="10"/>
      <c r="H31" s="14"/>
      <c r="I31" s="14"/>
      <c r="J31" s="14"/>
      <c r="K31" s="14"/>
      <c r="L31" s="14"/>
      <c r="M31" s="14"/>
      <c r="N31" s="14"/>
      <c r="O31" s="14"/>
      <c r="P31" s="12"/>
    </row>
    <row r="32" spans="1:30" x14ac:dyDescent="0.3">
      <c r="A32" s="15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AD32">
        <f>782.29+3021.53+695.24+839.95+797.33+3814.67+711.55+743.2+1118.36+63.46</f>
        <v>12587.58</v>
      </c>
    </row>
    <row r="33" spans="1:16" x14ac:dyDescent="0.3">
      <c r="A33" s="9" t="s">
        <v>16</v>
      </c>
      <c r="B33" s="10"/>
      <c r="C33" s="10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0"/>
      <c r="O33" s="10"/>
      <c r="P33" s="18"/>
    </row>
    <row r="34" spans="1:16" x14ac:dyDescent="0.3">
      <c r="A34" s="9" t="s">
        <v>17</v>
      </c>
      <c r="B34" s="17"/>
      <c r="C34" s="17"/>
      <c r="D34" s="10"/>
      <c r="E34" s="10"/>
      <c r="F34" s="10"/>
      <c r="G34" s="10"/>
      <c r="H34" s="17"/>
      <c r="I34" s="17"/>
      <c r="J34" s="17"/>
      <c r="K34" s="17"/>
      <c r="L34" s="17"/>
      <c r="M34" s="17"/>
      <c r="N34" s="17"/>
      <c r="O34" s="17"/>
      <c r="P34" s="18"/>
    </row>
    <row r="35" spans="1:16" x14ac:dyDescent="0.3">
      <c r="A35" s="9" t="s">
        <v>21</v>
      </c>
      <c r="B35" s="20"/>
      <c r="C35" s="20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0"/>
      <c r="O35" s="10"/>
      <c r="P35" s="18"/>
    </row>
    <row r="36" spans="1:16" x14ac:dyDescent="0.3">
      <c r="A36" s="19" t="s">
        <v>18</v>
      </c>
      <c r="B36" s="17"/>
      <c r="C36" s="17"/>
      <c r="D36" s="17"/>
      <c r="E36" s="17"/>
      <c r="F36" s="17"/>
      <c r="G36" s="17"/>
      <c r="H36" s="20"/>
      <c r="I36" s="20"/>
      <c r="J36" s="20"/>
      <c r="K36" s="20"/>
      <c r="L36" s="17"/>
      <c r="M36" s="17"/>
      <c r="N36" s="17"/>
      <c r="O36" s="17"/>
      <c r="P36" s="18"/>
    </row>
    <row r="37" spans="1:16" x14ac:dyDescent="0.3">
      <c r="A37" s="8" t="s">
        <v>26</v>
      </c>
      <c r="B37" s="17"/>
      <c r="C37" s="17"/>
      <c r="D37" s="10"/>
      <c r="E37" s="10"/>
      <c r="F37" s="10"/>
      <c r="G37" s="10"/>
      <c r="H37" s="17"/>
      <c r="I37" s="17"/>
      <c r="J37" s="17"/>
      <c r="K37" s="17"/>
      <c r="L37" s="17"/>
      <c r="M37" s="17"/>
      <c r="N37" s="17"/>
      <c r="O37" s="17"/>
      <c r="P37" s="18"/>
    </row>
    <row r="38" spans="1:16" x14ac:dyDescent="0.3">
      <c r="A38" s="8" t="s">
        <v>41</v>
      </c>
      <c r="B38" s="10"/>
      <c r="C38" s="10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0"/>
      <c r="O38" s="10"/>
      <c r="P38" s="18"/>
    </row>
  </sheetData>
  <mergeCells count="46">
    <mergeCell ref="B1:P1"/>
    <mergeCell ref="B2:P2"/>
    <mergeCell ref="B3:C3"/>
    <mergeCell ref="D3:E3"/>
    <mergeCell ref="F3:G3"/>
    <mergeCell ref="H3:I3"/>
    <mergeCell ref="J3:K3"/>
    <mergeCell ref="L3:M3"/>
    <mergeCell ref="N3:O3"/>
    <mergeCell ref="N4:O4"/>
    <mergeCell ref="B5:C5"/>
    <mergeCell ref="D5:E5"/>
    <mergeCell ref="F5:G5"/>
    <mergeCell ref="H5:I5"/>
    <mergeCell ref="J5:K5"/>
    <mergeCell ref="L5:M5"/>
    <mergeCell ref="N5:O5"/>
    <mergeCell ref="B4:C4"/>
    <mergeCell ref="D4:E4"/>
    <mergeCell ref="F4:G4"/>
    <mergeCell ref="H4:I4"/>
    <mergeCell ref="J4:K4"/>
    <mergeCell ref="L4:M4"/>
    <mergeCell ref="B20:P20"/>
    <mergeCell ref="B21:P21"/>
    <mergeCell ref="B22:C22"/>
    <mergeCell ref="D22:E22"/>
    <mergeCell ref="F22:G22"/>
    <mergeCell ref="H22:I22"/>
    <mergeCell ref="J22:K22"/>
    <mergeCell ref="L22:M22"/>
    <mergeCell ref="N22:O22"/>
    <mergeCell ref="N23:O23"/>
    <mergeCell ref="B24:C24"/>
    <mergeCell ref="D24:E24"/>
    <mergeCell ref="F24:G24"/>
    <mergeCell ref="H24:I24"/>
    <mergeCell ref="J24:K24"/>
    <mergeCell ref="L24:M24"/>
    <mergeCell ref="N24:O24"/>
    <mergeCell ref="B23:C23"/>
    <mergeCell ref="D23:E23"/>
    <mergeCell ref="F23:G23"/>
    <mergeCell ref="H23:I23"/>
    <mergeCell ref="J23:K23"/>
    <mergeCell ref="L23:M23"/>
  </mergeCells>
  <pageMargins left="0.7" right="0.7" top="0.75" bottom="0.75" header="0.3" footer="0.3"/>
  <pageSetup paperSize="9" scale="37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66F63-BBE0-4FD1-A452-6DD6B2DC2B32}">
  <sheetPr>
    <pageSetUpPr fitToPage="1"/>
  </sheetPr>
  <dimension ref="A1:AD38"/>
  <sheetViews>
    <sheetView topLeftCell="A3" workbookViewId="0">
      <selection activeCell="A3" sqref="A3:P38"/>
    </sheetView>
  </sheetViews>
  <sheetFormatPr baseColWidth="10" defaultRowHeight="14.4" x14ac:dyDescent="0.3"/>
  <sheetData>
    <row r="1" spans="1:29" ht="15" thickBot="1" x14ac:dyDescent="0.35">
      <c r="A1" s="1" cm="1">
        <f t="array" aca="1" ref="A1" ca="1">A1:P37</f>
        <v>0</v>
      </c>
      <c r="B1" s="67" t="s">
        <v>0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8"/>
    </row>
    <row r="2" spans="1:29" ht="15" thickBot="1" x14ac:dyDescent="0.35">
      <c r="A2" s="2"/>
      <c r="B2" s="67" t="s">
        <v>43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8"/>
    </row>
    <row r="3" spans="1:29" x14ac:dyDescent="0.3">
      <c r="A3" s="3"/>
      <c r="B3" s="74" t="s">
        <v>1</v>
      </c>
      <c r="C3" s="75"/>
      <c r="D3" s="74" t="s">
        <v>2</v>
      </c>
      <c r="E3" s="75"/>
      <c r="F3" s="74" t="s">
        <v>3</v>
      </c>
      <c r="G3" s="75"/>
      <c r="H3" s="74" t="s">
        <v>4</v>
      </c>
      <c r="I3" s="75"/>
      <c r="J3" s="74" t="s">
        <v>5</v>
      </c>
      <c r="K3" s="75"/>
      <c r="L3" s="74" t="s">
        <v>6</v>
      </c>
      <c r="M3" s="75"/>
      <c r="N3" s="74" t="s">
        <v>7</v>
      </c>
      <c r="O3" s="75"/>
      <c r="P3" s="4" t="s">
        <v>8</v>
      </c>
      <c r="W3" s="5" t="e">
        <f t="shared" ref="W3:W17" si="0">C3-B3</f>
        <v>#VALUE!</v>
      </c>
      <c r="X3" s="5" t="e">
        <f t="shared" ref="X3:X17" si="1">E3-D3</f>
        <v>#VALUE!</v>
      </c>
      <c r="Y3" s="5" t="e">
        <f t="shared" ref="Y3:Y17" si="2">G3-F3</f>
        <v>#VALUE!</v>
      </c>
      <c r="Z3" s="5" t="e">
        <f t="shared" ref="Z3:Z17" si="3">I3-H3</f>
        <v>#VALUE!</v>
      </c>
      <c r="AA3" s="5" t="e">
        <f t="shared" ref="AA3:AA17" si="4">K3-J3</f>
        <v>#VALUE!</v>
      </c>
      <c r="AB3" s="5" t="e">
        <f t="shared" ref="AB3:AB17" si="5">M3-L3</f>
        <v>#VALUE!</v>
      </c>
      <c r="AC3" s="5" t="e">
        <f t="shared" ref="AC3:AC17" si="6">O3-N3</f>
        <v>#VALUE!</v>
      </c>
    </row>
    <row r="4" spans="1:29" x14ac:dyDescent="0.3">
      <c r="A4" s="6"/>
      <c r="B4" s="72">
        <v>46097</v>
      </c>
      <c r="C4" s="73"/>
      <c r="D4" s="72">
        <v>46098</v>
      </c>
      <c r="E4" s="73"/>
      <c r="F4" s="72">
        <v>46099</v>
      </c>
      <c r="G4" s="73"/>
      <c r="H4" s="72">
        <v>46100</v>
      </c>
      <c r="I4" s="73"/>
      <c r="J4" s="72">
        <v>46101</v>
      </c>
      <c r="K4" s="73"/>
      <c r="L4" s="72">
        <v>46102</v>
      </c>
      <c r="M4" s="73"/>
      <c r="N4" s="72">
        <v>46103</v>
      </c>
      <c r="O4" s="73"/>
      <c r="P4" s="7"/>
      <c r="W4" s="5">
        <f t="shared" si="0"/>
        <v>-46097</v>
      </c>
      <c r="X4" s="5">
        <f t="shared" si="1"/>
        <v>-46098</v>
      </c>
      <c r="Y4" s="5">
        <f t="shared" si="2"/>
        <v>-46099</v>
      </c>
      <c r="Z4" s="5">
        <f t="shared" si="3"/>
        <v>-46100</v>
      </c>
      <c r="AA4" s="5">
        <f t="shared" si="4"/>
        <v>-46101</v>
      </c>
      <c r="AB4" s="5">
        <f t="shared" si="5"/>
        <v>-46102</v>
      </c>
      <c r="AC4" s="5">
        <f t="shared" si="6"/>
        <v>-46103</v>
      </c>
    </row>
    <row r="5" spans="1:29" x14ac:dyDescent="0.3">
      <c r="A5" s="8" t="s">
        <v>9</v>
      </c>
      <c r="B5" s="72"/>
      <c r="C5" s="73"/>
      <c r="D5" s="72"/>
      <c r="E5" s="73"/>
      <c r="F5" s="72"/>
      <c r="G5" s="73"/>
      <c r="H5" s="72"/>
      <c r="I5" s="73"/>
      <c r="J5" s="72"/>
      <c r="K5" s="73"/>
      <c r="L5" s="72"/>
      <c r="M5" s="73"/>
      <c r="N5" s="72"/>
      <c r="O5" s="73"/>
      <c r="P5" s="7"/>
      <c r="W5" s="5">
        <f t="shared" si="0"/>
        <v>0</v>
      </c>
      <c r="X5" s="5">
        <f t="shared" si="1"/>
        <v>0</v>
      </c>
      <c r="Y5" s="5">
        <f t="shared" si="2"/>
        <v>0</v>
      </c>
      <c r="Z5" s="5">
        <f t="shared" si="3"/>
        <v>0</v>
      </c>
      <c r="AA5" s="5">
        <f t="shared" si="4"/>
        <v>0</v>
      </c>
      <c r="AB5" s="5">
        <f t="shared" si="5"/>
        <v>0</v>
      </c>
      <c r="AC5" s="5">
        <f t="shared" si="6"/>
        <v>0</v>
      </c>
    </row>
    <row r="6" spans="1:29" x14ac:dyDescent="0.3">
      <c r="A6" s="9" t="s">
        <v>10</v>
      </c>
      <c r="B6" s="11">
        <v>0.41666666666666669</v>
      </c>
      <c r="C6" s="11">
        <v>0.70833333333333337</v>
      </c>
      <c r="D6" s="11">
        <v>0.39583333333333331</v>
      </c>
      <c r="E6" s="11">
        <v>0.72916666666666663</v>
      </c>
      <c r="F6" s="11">
        <v>0.375</v>
      </c>
      <c r="G6" s="11">
        <v>0.72916666666666663</v>
      </c>
      <c r="H6" s="11">
        <v>0.41666666666666669</v>
      </c>
      <c r="I6" s="11">
        <v>0.72916666666666663</v>
      </c>
      <c r="J6" s="11">
        <v>0.375</v>
      </c>
      <c r="K6" s="11">
        <v>0.70833333333333337</v>
      </c>
      <c r="L6" s="10"/>
      <c r="M6" s="10"/>
      <c r="N6" s="10"/>
      <c r="O6" s="10"/>
      <c r="P6" s="12">
        <f>W6+X6+Y6+Z6+AA6+AB6+AC6</f>
        <v>1.625</v>
      </c>
      <c r="W6" s="5">
        <f t="shared" si="0"/>
        <v>0.29166666666666669</v>
      </c>
      <c r="X6" s="5">
        <f t="shared" si="1"/>
        <v>0.33333333333333331</v>
      </c>
      <c r="Y6" s="5">
        <f t="shared" si="2"/>
        <v>0.35416666666666663</v>
      </c>
      <c r="Z6" s="5">
        <f t="shared" si="3"/>
        <v>0.31249999999999994</v>
      </c>
      <c r="AA6" s="5">
        <f t="shared" si="4"/>
        <v>0.33333333333333337</v>
      </c>
      <c r="AB6" s="5">
        <f t="shared" si="5"/>
        <v>0</v>
      </c>
      <c r="AC6" s="5">
        <f t="shared" si="6"/>
        <v>0</v>
      </c>
    </row>
    <row r="7" spans="1:29" x14ac:dyDescent="0.3">
      <c r="A7" s="13" t="s">
        <v>12</v>
      </c>
      <c r="B7" s="21">
        <v>0.41666666666666669</v>
      </c>
      <c r="C7" s="21">
        <v>0.70833333333333337</v>
      </c>
      <c r="D7" s="21">
        <v>0.41666666666666669</v>
      </c>
      <c r="E7" s="21">
        <v>0.70833333333333337</v>
      </c>
      <c r="F7" s="21">
        <v>0.41666666666666669</v>
      </c>
      <c r="G7" s="21">
        <v>0.70833333333333337</v>
      </c>
      <c r="H7" s="21">
        <v>0.41666666666666669</v>
      </c>
      <c r="I7" s="21">
        <v>0.70833333333333337</v>
      </c>
      <c r="J7" s="21">
        <v>0.41666666666666669</v>
      </c>
      <c r="K7" s="21">
        <v>0.70833333333333337</v>
      </c>
      <c r="L7" s="10"/>
      <c r="M7" s="10"/>
      <c r="N7" s="10"/>
      <c r="O7" s="10"/>
      <c r="P7" s="12">
        <f>W7+X7+Y7+Z7+AA7+AB7+AC7</f>
        <v>1.4583333333333335</v>
      </c>
      <c r="W7" s="5">
        <f t="shared" si="0"/>
        <v>0.29166666666666669</v>
      </c>
      <c r="X7" s="5">
        <f t="shared" si="1"/>
        <v>0.29166666666666669</v>
      </c>
      <c r="Y7" s="5">
        <f t="shared" si="2"/>
        <v>0.29166666666666669</v>
      </c>
      <c r="Z7" s="5">
        <f t="shared" si="3"/>
        <v>0.29166666666666669</v>
      </c>
      <c r="AA7" s="5">
        <f t="shared" si="4"/>
        <v>0.29166666666666669</v>
      </c>
      <c r="AB7" s="5">
        <f t="shared" si="5"/>
        <v>0</v>
      </c>
      <c r="AC7" s="5">
        <f t="shared" si="6"/>
        <v>0</v>
      </c>
    </row>
    <row r="8" spans="1:29" x14ac:dyDescent="0.3">
      <c r="A8" s="8" t="s">
        <v>28</v>
      </c>
      <c r="B8" s="14">
        <v>0.39583333333333331</v>
      </c>
      <c r="C8" s="14">
        <v>0.72916666666666663</v>
      </c>
      <c r="D8" s="14">
        <v>0.39583333333333331</v>
      </c>
      <c r="E8" s="14">
        <v>0.72916666666666663</v>
      </c>
      <c r="F8" s="14">
        <v>0.375</v>
      </c>
      <c r="G8" s="14">
        <v>0.70833333333333337</v>
      </c>
      <c r="H8" s="10"/>
      <c r="I8" s="10"/>
      <c r="J8" s="10"/>
      <c r="K8" s="10"/>
      <c r="L8" s="14">
        <v>0.39583333333333331</v>
      </c>
      <c r="M8" s="14">
        <v>0.70833333333333337</v>
      </c>
      <c r="N8" s="14">
        <v>0.39583333333333331</v>
      </c>
      <c r="O8" s="14">
        <v>0.70833333333333337</v>
      </c>
      <c r="P8" s="12">
        <f t="shared" ref="P8:P12" si="7">W8+X8+Y8+Z8+AA8+AB8+AC8</f>
        <v>1.625</v>
      </c>
      <c r="W8" s="5">
        <f t="shared" si="0"/>
        <v>0.33333333333333331</v>
      </c>
      <c r="X8" s="5">
        <f t="shared" si="1"/>
        <v>0.33333333333333331</v>
      </c>
      <c r="Y8" s="5">
        <f t="shared" si="2"/>
        <v>0.33333333333333337</v>
      </c>
      <c r="Z8" s="5">
        <f t="shared" si="3"/>
        <v>0</v>
      </c>
      <c r="AA8" s="5">
        <f t="shared" si="4"/>
        <v>0</v>
      </c>
      <c r="AB8" s="5">
        <f t="shared" si="5"/>
        <v>0.31250000000000006</v>
      </c>
      <c r="AC8" s="5">
        <f t="shared" si="6"/>
        <v>0.31250000000000006</v>
      </c>
    </row>
    <row r="9" spans="1:29" x14ac:dyDescent="0.3">
      <c r="A9" s="8" t="s">
        <v>36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4">
        <v>0.48958333333333331</v>
      </c>
      <c r="M9" s="14">
        <v>0.63541666666666663</v>
      </c>
      <c r="N9" s="14">
        <v>0.48958333333333331</v>
      </c>
      <c r="O9" s="14">
        <v>0.63541666666666663</v>
      </c>
      <c r="P9" s="12">
        <f t="shared" si="7"/>
        <v>0.29166666666666663</v>
      </c>
      <c r="W9" s="5">
        <f t="shared" si="0"/>
        <v>0</v>
      </c>
      <c r="X9" s="5">
        <f t="shared" si="1"/>
        <v>0</v>
      </c>
      <c r="Y9" s="5">
        <f t="shared" si="2"/>
        <v>0</v>
      </c>
      <c r="Z9" s="5">
        <f t="shared" si="3"/>
        <v>0</v>
      </c>
      <c r="AA9" s="5">
        <f t="shared" si="4"/>
        <v>0</v>
      </c>
      <c r="AB9" s="5">
        <f t="shared" si="5"/>
        <v>0.14583333333333331</v>
      </c>
      <c r="AC9" s="5">
        <f t="shared" si="6"/>
        <v>0.14583333333333331</v>
      </c>
    </row>
    <row r="10" spans="1:29" x14ac:dyDescent="0.3">
      <c r="A10" s="8" t="s">
        <v>37</v>
      </c>
      <c r="B10" s="10"/>
      <c r="C10" s="10"/>
      <c r="D10" s="14">
        <v>0.39583333333333331</v>
      </c>
      <c r="E10" s="14">
        <v>0.70833333333333337</v>
      </c>
      <c r="F10" s="14">
        <v>0.375</v>
      </c>
      <c r="G10" s="14">
        <v>0.72916666666666663</v>
      </c>
      <c r="H10" s="14">
        <v>0.39583333333333331</v>
      </c>
      <c r="I10" s="14">
        <v>0.72916666666666663</v>
      </c>
      <c r="J10" s="14">
        <v>0.375</v>
      </c>
      <c r="K10" s="14">
        <v>0.70833333333333337</v>
      </c>
      <c r="L10" s="14">
        <v>0.41666666666666669</v>
      </c>
      <c r="M10" s="14">
        <v>0.70833333333333337</v>
      </c>
      <c r="N10" s="10"/>
      <c r="O10" s="10"/>
      <c r="P10" s="12">
        <f t="shared" si="7"/>
        <v>1.6250000000000002</v>
      </c>
      <c r="W10" s="5">
        <f t="shared" si="0"/>
        <v>0</v>
      </c>
      <c r="X10" s="5">
        <f t="shared" si="1"/>
        <v>0.31250000000000006</v>
      </c>
      <c r="Y10" s="5">
        <f t="shared" si="2"/>
        <v>0.35416666666666663</v>
      </c>
      <c r="Z10" s="5">
        <f t="shared" si="3"/>
        <v>0.33333333333333331</v>
      </c>
      <c r="AA10" s="5">
        <f t="shared" si="4"/>
        <v>0.33333333333333337</v>
      </c>
      <c r="AB10" s="5">
        <f t="shared" si="5"/>
        <v>0.29166666666666669</v>
      </c>
      <c r="AC10" s="5">
        <f t="shared" si="6"/>
        <v>0</v>
      </c>
    </row>
    <row r="11" spans="1:29" x14ac:dyDescent="0.3">
      <c r="A11" s="8" t="s">
        <v>42</v>
      </c>
      <c r="B11" s="14">
        <v>0.39583333333333331</v>
      </c>
      <c r="C11" s="14">
        <v>0.72916666666666663</v>
      </c>
      <c r="D11" s="14">
        <v>0.39583333333333331</v>
      </c>
      <c r="E11" s="14">
        <v>0.70833333333333337</v>
      </c>
      <c r="F11" s="10"/>
      <c r="G11" s="10"/>
      <c r="H11" s="10"/>
      <c r="I11" s="10"/>
      <c r="J11" s="14">
        <v>0.39583333333333331</v>
      </c>
      <c r="K11" s="14">
        <v>0.72916666666666663</v>
      </c>
      <c r="L11" s="14">
        <v>0.39583333333333331</v>
      </c>
      <c r="M11" s="14">
        <v>0.72916666666666663</v>
      </c>
      <c r="N11" s="14">
        <v>0.39583333333333331</v>
      </c>
      <c r="O11" s="14">
        <v>0.70833333333333337</v>
      </c>
      <c r="P11" s="12">
        <f t="shared" si="7"/>
        <v>1.625</v>
      </c>
      <c r="W11" s="5">
        <f t="shared" si="0"/>
        <v>0.33333333333333331</v>
      </c>
      <c r="X11" s="5">
        <f t="shared" si="1"/>
        <v>0.31250000000000006</v>
      </c>
      <c r="Y11" s="5">
        <f t="shared" si="2"/>
        <v>0</v>
      </c>
      <c r="Z11" s="5">
        <f t="shared" si="3"/>
        <v>0</v>
      </c>
      <c r="AA11" s="5">
        <f t="shared" si="4"/>
        <v>0.33333333333333331</v>
      </c>
      <c r="AB11" s="5">
        <f t="shared" si="5"/>
        <v>0.33333333333333331</v>
      </c>
      <c r="AC11" s="5">
        <f t="shared" si="6"/>
        <v>0.31250000000000006</v>
      </c>
    </row>
    <row r="12" spans="1:29" x14ac:dyDescent="0.3">
      <c r="A12" s="8" t="s">
        <v>14</v>
      </c>
      <c r="B12" s="14">
        <v>0.39583333333333331</v>
      </c>
      <c r="C12" s="14">
        <v>0.70833333333333337</v>
      </c>
      <c r="D12" s="10"/>
      <c r="E12" s="10"/>
      <c r="F12" s="10"/>
      <c r="G12" s="10"/>
      <c r="H12" s="14">
        <v>0.39583333333333331</v>
      </c>
      <c r="I12" s="14">
        <v>0.72916666666666663</v>
      </c>
      <c r="J12" s="14">
        <v>0.375</v>
      </c>
      <c r="K12" s="14">
        <v>0.70833333333333337</v>
      </c>
      <c r="L12" s="14">
        <v>0.39583333333333331</v>
      </c>
      <c r="M12" s="14">
        <v>0.72916666666666663</v>
      </c>
      <c r="N12" s="14">
        <v>0.39583333333333331</v>
      </c>
      <c r="O12" s="14">
        <v>0.70833333333333337</v>
      </c>
      <c r="P12" s="12">
        <f t="shared" si="7"/>
        <v>1.625</v>
      </c>
      <c r="W12" s="5">
        <f t="shared" si="0"/>
        <v>0.31250000000000006</v>
      </c>
      <c r="X12" s="5">
        <f t="shared" si="1"/>
        <v>0</v>
      </c>
      <c r="Y12" s="5">
        <f t="shared" si="2"/>
        <v>0</v>
      </c>
      <c r="Z12" s="5">
        <f t="shared" si="3"/>
        <v>0.33333333333333331</v>
      </c>
      <c r="AA12" s="5">
        <f t="shared" si="4"/>
        <v>0.33333333333333337</v>
      </c>
      <c r="AB12" s="5">
        <f t="shared" si="5"/>
        <v>0.33333333333333331</v>
      </c>
      <c r="AC12" s="5">
        <f t="shared" si="6"/>
        <v>0.31250000000000006</v>
      </c>
    </row>
    <row r="13" spans="1:29" x14ac:dyDescent="0.3">
      <c r="A13" s="15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W13" s="5">
        <f t="shared" si="0"/>
        <v>0</v>
      </c>
      <c r="X13" s="5">
        <f t="shared" si="1"/>
        <v>0</v>
      </c>
      <c r="Y13" s="5">
        <f t="shared" si="2"/>
        <v>0</v>
      </c>
      <c r="Z13" s="5">
        <f t="shared" si="3"/>
        <v>0</v>
      </c>
      <c r="AA13" s="5">
        <f t="shared" si="4"/>
        <v>0</v>
      </c>
      <c r="AB13" s="5">
        <f t="shared" si="5"/>
        <v>0</v>
      </c>
      <c r="AC13" s="5">
        <f t="shared" si="6"/>
        <v>0</v>
      </c>
    </row>
    <row r="14" spans="1:29" x14ac:dyDescent="0.3">
      <c r="A14" s="9" t="s">
        <v>16</v>
      </c>
      <c r="B14" s="10"/>
      <c r="C14" s="10"/>
      <c r="D14" s="17">
        <v>0.70833333333333337</v>
      </c>
      <c r="E14" s="17">
        <v>1.0625</v>
      </c>
      <c r="F14" s="17">
        <v>0.72916666666666663</v>
      </c>
      <c r="G14" s="17">
        <v>1.0625</v>
      </c>
      <c r="H14" s="17">
        <v>0.70833333333333304</v>
      </c>
      <c r="I14" s="17">
        <v>1.0625</v>
      </c>
      <c r="J14" s="17">
        <v>0.70833333333333304</v>
      </c>
      <c r="K14" s="17">
        <v>1.0625</v>
      </c>
      <c r="L14" s="17">
        <v>0.70833333333333304</v>
      </c>
      <c r="M14" s="17">
        <v>1.0625</v>
      </c>
      <c r="N14" s="10"/>
      <c r="O14" s="10"/>
      <c r="P14" s="18">
        <f t="shared" ref="P14:P15" si="8">W14+X14+Y14+Z14+AA14+AB14+AC14</f>
        <v>1.7500000000000009</v>
      </c>
      <c r="W14" s="5">
        <f t="shared" si="0"/>
        <v>0</v>
      </c>
      <c r="X14" s="5">
        <f t="shared" si="1"/>
        <v>0.35416666666666663</v>
      </c>
      <c r="Y14" s="5">
        <f t="shared" si="2"/>
        <v>0.33333333333333337</v>
      </c>
      <c r="Z14" s="5">
        <f t="shared" si="3"/>
        <v>0.35416666666666696</v>
      </c>
      <c r="AA14" s="5">
        <f t="shared" si="4"/>
        <v>0.35416666666666696</v>
      </c>
      <c r="AB14" s="5">
        <f t="shared" si="5"/>
        <v>0.35416666666666696</v>
      </c>
      <c r="AC14" s="5">
        <f t="shared" si="6"/>
        <v>0</v>
      </c>
    </row>
    <row r="15" spans="1:29" x14ac:dyDescent="0.3">
      <c r="A15" s="9" t="s">
        <v>17</v>
      </c>
      <c r="B15" s="17">
        <v>0.70833333333333337</v>
      </c>
      <c r="C15" s="17">
        <v>1.0208333333333299</v>
      </c>
      <c r="D15" s="10"/>
      <c r="E15" s="10"/>
      <c r="F15" s="10"/>
      <c r="G15" s="10"/>
      <c r="H15" s="17">
        <v>0.70833333333333337</v>
      </c>
      <c r="I15" s="17">
        <v>1.0625</v>
      </c>
      <c r="J15" s="17">
        <v>0.70833333333333304</v>
      </c>
      <c r="K15" s="17">
        <v>1.0625</v>
      </c>
      <c r="L15" s="17">
        <v>0.6875</v>
      </c>
      <c r="M15" s="17">
        <v>1.0625</v>
      </c>
      <c r="N15" s="17">
        <v>0.66666666666666663</v>
      </c>
      <c r="O15" s="17">
        <v>1.0208333333333333</v>
      </c>
      <c r="P15" s="18">
        <f t="shared" si="8"/>
        <v>1.7499999999999969</v>
      </c>
      <c r="W15" s="5">
        <f t="shared" si="0"/>
        <v>0.31249999999999656</v>
      </c>
      <c r="X15" s="5">
        <f t="shared" si="1"/>
        <v>0</v>
      </c>
      <c r="Y15" s="5">
        <f t="shared" si="2"/>
        <v>0</v>
      </c>
      <c r="Z15" s="5">
        <f t="shared" si="3"/>
        <v>0.35416666666666663</v>
      </c>
      <c r="AA15" s="5">
        <f t="shared" si="4"/>
        <v>0.35416666666666696</v>
      </c>
      <c r="AB15" s="5">
        <f t="shared" si="5"/>
        <v>0.375</v>
      </c>
      <c r="AC15" s="5">
        <f t="shared" si="6"/>
        <v>0.35416666666666663</v>
      </c>
    </row>
    <row r="16" spans="1:29" x14ac:dyDescent="0.3">
      <c r="A16" s="9" t="s">
        <v>21</v>
      </c>
      <c r="B16" s="20"/>
      <c r="C16" s="20"/>
      <c r="D16" s="17">
        <v>0.70833333333333337</v>
      </c>
      <c r="E16" s="17">
        <v>1.0625</v>
      </c>
      <c r="F16" s="17">
        <v>0.70833333333333337</v>
      </c>
      <c r="G16" s="17">
        <v>1.0625</v>
      </c>
      <c r="H16" s="17">
        <v>0.72916666666666663</v>
      </c>
      <c r="I16" s="17">
        <v>1.0625</v>
      </c>
      <c r="J16" s="17">
        <v>0.70833333333333337</v>
      </c>
      <c r="K16" s="17">
        <v>1.0625</v>
      </c>
      <c r="L16" s="17">
        <v>0.70833333333333337</v>
      </c>
      <c r="M16" s="17">
        <v>1.0625</v>
      </c>
      <c r="N16" s="10"/>
      <c r="O16" s="10"/>
      <c r="P16" s="18">
        <f>W16+X16+Y16+Z16+AA16+AB16+AC16</f>
        <v>1.7499999999999996</v>
      </c>
      <c r="W16" s="5">
        <f t="shared" si="0"/>
        <v>0</v>
      </c>
      <c r="X16" s="5">
        <f t="shared" si="1"/>
        <v>0.35416666666666663</v>
      </c>
      <c r="Y16" s="5">
        <f t="shared" si="2"/>
        <v>0.35416666666666663</v>
      </c>
      <c r="Z16" s="5">
        <f t="shared" si="3"/>
        <v>0.33333333333333337</v>
      </c>
      <c r="AA16" s="5">
        <f t="shared" si="4"/>
        <v>0.35416666666666663</v>
      </c>
      <c r="AB16" s="5">
        <f t="shared" si="5"/>
        <v>0.35416666666666663</v>
      </c>
      <c r="AC16" s="5">
        <f t="shared" si="6"/>
        <v>0</v>
      </c>
    </row>
    <row r="17" spans="1:30" x14ac:dyDescent="0.3">
      <c r="A17" s="19" t="s">
        <v>18</v>
      </c>
      <c r="B17" s="17">
        <v>0.72916666666666663</v>
      </c>
      <c r="C17" s="17">
        <v>1.0208333333333299</v>
      </c>
      <c r="D17" s="17">
        <v>0.70833333333333337</v>
      </c>
      <c r="E17" s="17">
        <v>1.0625</v>
      </c>
      <c r="F17" s="17">
        <v>0.75</v>
      </c>
      <c r="G17" s="17">
        <v>1.0625</v>
      </c>
      <c r="H17" s="20"/>
      <c r="I17" s="20"/>
      <c r="J17" s="20"/>
      <c r="K17" s="20"/>
      <c r="L17" s="17">
        <v>0.70833333333333337</v>
      </c>
      <c r="M17" s="17">
        <v>1.0625</v>
      </c>
      <c r="N17" s="17">
        <v>0.70833333333333337</v>
      </c>
      <c r="O17" s="17">
        <v>1.0208333333333333</v>
      </c>
      <c r="P17" s="18">
        <f t="shared" ref="P17:P19" si="9">W17+X17+Y17+Z17+AA17+AB17+AC17</f>
        <v>1.6249999999999964</v>
      </c>
      <c r="W17" s="5">
        <f t="shared" si="0"/>
        <v>0.2916666666666633</v>
      </c>
      <c r="X17" s="5">
        <f t="shared" si="1"/>
        <v>0.35416666666666663</v>
      </c>
      <c r="Y17" s="5">
        <f t="shared" si="2"/>
        <v>0.3125</v>
      </c>
      <c r="Z17" s="5">
        <f t="shared" si="3"/>
        <v>0</v>
      </c>
      <c r="AA17" s="5">
        <f t="shared" si="4"/>
        <v>0</v>
      </c>
      <c r="AB17" s="5">
        <f t="shared" si="5"/>
        <v>0.35416666666666663</v>
      </c>
      <c r="AC17" s="5">
        <f t="shared" si="6"/>
        <v>0.31249999999999989</v>
      </c>
    </row>
    <row r="18" spans="1:30" x14ac:dyDescent="0.3">
      <c r="A18" s="8" t="s">
        <v>26</v>
      </c>
      <c r="B18" s="17">
        <v>0.72916666666666663</v>
      </c>
      <c r="C18" s="17">
        <v>1.0208333333333333</v>
      </c>
      <c r="D18" s="10"/>
      <c r="E18" s="10"/>
      <c r="F18" s="10"/>
      <c r="G18" s="10"/>
      <c r="H18" s="17">
        <v>0.75</v>
      </c>
      <c r="I18" s="17">
        <v>1.0625</v>
      </c>
      <c r="J18" s="17">
        <v>0.75</v>
      </c>
      <c r="K18" s="17">
        <v>1.0625</v>
      </c>
      <c r="L18" s="17">
        <v>0.70833333333333337</v>
      </c>
      <c r="M18" s="17">
        <v>1.0625</v>
      </c>
      <c r="N18" s="17">
        <v>0.66666666666666663</v>
      </c>
      <c r="O18" s="17">
        <v>1.0208333333333333</v>
      </c>
      <c r="P18" s="18">
        <f t="shared" si="9"/>
        <v>1.625</v>
      </c>
      <c r="W18" s="5">
        <f>C18-B18</f>
        <v>0.29166666666666663</v>
      </c>
      <c r="X18" s="5">
        <f>E18-D18</f>
        <v>0</v>
      </c>
      <c r="Y18" s="5">
        <f>G18-F18</f>
        <v>0</v>
      </c>
      <c r="Z18" s="5">
        <f>I18-H18</f>
        <v>0.3125</v>
      </c>
      <c r="AA18" s="5">
        <f>K18-J18</f>
        <v>0.3125</v>
      </c>
      <c r="AB18" s="5">
        <f>M18-L18</f>
        <v>0.35416666666666663</v>
      </c>
      <c r="AC18" s="5">
        <f>O18-N18</f>
        <v>0.35416666666666663</v>
      </c>
    </row>
    <row r="19" spans="1:30" ht="15" thickBot="1" x14ac:dyDescent="0.35">
      <c r="A19" s="8" t="s">
        <v>41</v>
      </c>
      <c r="B19" s="10"/>
      <c r="C19" s="10"/>
      <c r="D19" s="17">
        <v>0.75</v>
      </c>
      <c r="E19" s="17">
        <v>1.0625</v>
      </c>
      <c r="F19" s="17">
        <v>0.72916666666666663</v>
      </c>
      <c r="G19" s="17">
        <v>1.0625</v>
      </c>
      <c r="H19" s="17">
        <v>0.75</v>
      </c>
      <c r="I19" s="17">
        <v>1.0625</v>
      </c>
      <c r="J19" s="17">
        <v>0.75</v>
      </c>
      <c r="K19" s="17">
        <v>1.0625</v>
      </c>
      <c r="L19" s="17">
        <v>0.70833333333333337</v>
      </c>
      <c r="M19" s="17">
        <v>1.0625</v>
      </c>
      <c r="N19" s="10"/>
      <c r="O19" s="10"/>
      <c r="P19" s="18">
        <f t="shared" si="9"/>
        <v>1.625</v>
      </c>
      <c r="W19" s="5">
        <f>C19-B19</f>
        <v>0</v>
      </c>
      <c r="X19" s="5">
        <f>E19-D19</f>
        <v>0.3125</v>
      </c>
      <c r="Y19" s="5">
        <f>G19-F19</f>
        <v>0.33333333333333337</v>
      </c>
      <c r="Z19" s="5">
        <f>I19-H19</f>
        <v>0.3125</v>
      </c>
      <c r="AA19" s="5">
        <f>K19-J19</f>
        <v>0.3125</v>
      </c>
      <c r="AB19" s="5">
        <f>M19-L19</f>
        <v>0.35416666666666663</v>
      </c>
      <c r="AC19" s="5">
        <f>O19-N19</f>
        <v>0</v>
      </c>
    </row>
    <row r="20" spans="1:30" ht="15" thickBot="1" x14ac:dyDescent="0.35">
      <c r="A20" s="1" t="e" cm="1">
        <f t="array" ref="A20">+A20:PA20:P+A20:P363628A1:P2A1:P49</f>
        <v>#NAME?</v>
      </c>
      <c r="B20" s="67" t="s">
        <v>0</v>
      </c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8"/>
      <c r="W20" s="5" t="e">
        <f t="shared" ref="W20" si="10">C20-B20</f>
        <v>#VALUE!</v>
      </c>
      <c r="X20" s="5">
        <f t="shared" ref="X20" si="11">E20-D20</f>
        <v>0</v>
      </c>
      <c r="Y20" s="5">
        <f t="shared" ref="Y20" si="12">G20-F20</f>
        <v>0</v>
      </c>
      <c r="Z20" s="5">
        <f t="shared" ref="Z20" si="13">I20-H20</f>
        <v>0</v>
      </c>
      <c r="AA20" s="5">
        <f t="shared" ref="AA20" si="14">K20-J20</f>
        <v>0</v>
      </c>
      <c r="AB20" s="5">
        <f t="shared" ref="AB20" si="15">M20-L20</f>
        <v>0</v>
      </c>
      <c r="AC20" s="5">
        <f t="shared" ref="AC20" si="16">O20-N20</f>
        <v>0</v>
      </c>
    </row>
    <row r="21" spans="1:30" ht="15" thickBot="1" x14ac:dyDescent="0.35">
      <c r="A21" s="2"/>
      <c r="B21" s="67" t="str">
        <f>B2</f>
        <v>SEMAINE 12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8"/>
    </row>
    <row r="22" spans="1:30" x14ac:dyDescent="0.3">
      <c r="A22" s="3"/>
      <c r="B22" s="74" t="s">
        <v>1</v>
      </c>
      <c r="C22" s="75"/>
      <c r="D22" s="74" t="s">
        <v>2</v>
      </c>
      <c r="E22" s="75"/>
      <c r="F22" s="74" t="s">
        <v>3</v>
      </c>
      <c r="G22" s="75"/>
      <c r="H22" s="74" t="s">
        <v>4</v>
      </c>
      <c r="I22" s="75"/>
      <c r="J22" s="74" t="s">
        <v>5</v>
      </c>
      <c r="K22" s="75"/>
      <c r="L22" s="74" t="s">
        <v>6</v>
      </c>
      <c r="M22" s="75"/>
      <c r="N22" s="74" t="s">
        <v>7</v>
      </c>
      <c r="O22" s="75"/>
      <c r="P22" s="4" t="s">
        <v>8</v>
      </c>
    </row>
    <row r="23" spans="1:30" x14ac:dyDescent="0.3">
      <c r="A23" s="6"/>
      <c r="B23" s="72">
        <f>B4</f>
        <v>46097</v>
      </c>
      <c r="C23" s="73"/>
      <c r="D23" s="72">
        <f t="shared" ref="D23" si="17">D4</f>
        <v>46098</v>
      </c>
      <c r="E23" s="73"/>
      <c r="F23" s="72">
        <f t="shared" ref="F23" si="18">F4</f>
        <v>46099</v>
      </c>
      <c r="G23" s="73"/>
      <c r="H23" s="72">
        <f t="shared" ref="H23" si="19">H4</f>
        <v>46100</v>
      </c>
      <c r="I23" s="73"/>
      <c r="J23" s="72">
        <f t="shared" ref="J23" si="20">J4</f>
        <v>46101</v>
      </c>
      <c r="K23" s="73"/>
      <c r="L23" s="72">
        <f t="shared" ref="L23" si="21">L4</f>
        <v>46102</v>
      </c>
      <c r="M23" s="73"/>
      <c r="N23" s="72">
        <f t="shared" ref="N23" si="22">N4</f>
        <v>46103</v>
      </c>
      <c r="O23" s="73"/>
      <c r="P23" s="7"/>
    </row>
    <row r="24" spans="1:30" x14ac:dyDescent="0.3">
      <c r="A24" s="8" t="s">
        <v>9</v>
      </c>
      <c r="B24" s="72"/>
      <c r="C24" s="73"/>
      <c r="D24" s="72"/>
      <c r="E24" s="73"/>
      <c r="F24" s="72"/>
      <c r="G24" s="73"/>
      <c r="H24" s="72"/>
      <c r="I24" s="73"/>
      <c r="J24" s="72"/>
      <c r="K24" s="73"/>
      <c r="L24" s="72"/>
      <c r="M24" s="73"/>
      <c r="N24" s="72"/>
      <c r="O24" s="73"/>
      <c r="P24" s="7"/>
    </row>
    <row r="25" spans="1:30" x14ac:dyDescent="0.3">
      <c r="A25" s="9" t="s">
        <v>10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0"/>
      <c r="M25" s="10"/>
      <c r="N25" s="10"/>
      <c r="O25" s="10"/>
      <c r="P25" s="12"/>
    </row>
    <row r="26" spans="1:30" x14ac:dyDescent="0.3">
      <c r="A26" s="13" t="s">
        <v>12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10"/>
      <c r="M26" s="10"/>
      <c r="N26" s="10"/>
      <c r="O26" s="10"/>
      <c r="P26" s="12"/>
    </row>
    <row r="27" spans="1:30" x14ac:dyDescent="0.3">
      <c r="A27" s="8" t="s">
        <v>28</v>
      </c>
      <c r="B27" s="14"/>
      <c r="C27" s="14"/>
      <c r="D27" s="14"/>
      <c r="E27" s="14"/>
      <c r="F27" s="14"/>
      <c r="G27" s="14"/>
      <c r="H27" s="10"/>
      <c r="I27" s="10"/>
      <c r="J27" s="10"/>
      <c r="K27" s="10"/>
      <c r="L27" s="14"/>
      <c r="M27" s="14"/>
      <c r="N27" s="14"/>
      <c r="O27" s="14"/>
      <c r="P27" s="12"/>
    </row>
    <row r="28" spans="1:30" x14ac:dyDescent="0.3">
      <c r="A28" s="8" t="s">
        <v>36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4"/>
      <c r="M28" s="14"/>
      <c r="N28" s="14"/>
      <c r="O28" s="14"/>
      <c r="P28" s="12"/>
    </row>
    <row r="29" spans="1:30" x14ac:dyDescent="0.3">
      <c r="A29" s="8" t="s">
        <v>37</v>
      </c>
      <c r="B29" s="10"/>
      <c r="C29" s="10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0"/>
      <c r="O29" s="10"/>
      <c r="P29" s="12"/>
    </row>
    <row r="30" spans="1:30" x14ac:dyDescent="0.3">
      <c r="A30" s="8" t="s">
        <v>42</v>
      </c>
      <c r="B30" s="14"/>
      <c r="C30" s="14"/>
      <c r="D30" s="14"/>
      <c r="E30" s="14"/>
      <c r="F30" s="10"/>
      <c r="G30" s="10"/>
      <c r="H30" s="10"/>
      <c r="I30" s="10"/>
      <c r="J30" s="14"/>
      <c r="K30" s="14"/>
      <c r="L30" s="14"/>
      <c r="M30" s="14"/>
      <c r="N30" s="14"/>
      <c r="O30" s="14"/>
      <c r="P30" s="12"/>
    </row>
    <row r="31" spans="1:30" x14ac:dyDescent="0.3">
      <c r="A31" s="8" t="s">
        <v>14</v>
      </c>
      <c r="B31" s="14"/>
      <c r="C31" s="14"/>
      <c r="D31" s="10"/>
      <c r="E31" s="10"/>
      <c r="F31" s="10"/>
      <c r="G31" s="10"/>
      <c r="H31" s="14"/>
      <c r="I31" s="14"/>
      <c r="J31" s="14"/>
      <c r="K31" s="14"/>
      <c r="L31" s="14"/>
      <c r="M31" s="14"/>
      <c r="N31" s="14"/>
      <c r="O31" s="14"/>
      <c r="P31" s="12"/>
    </row>
    <row r="32" spans="1:30" x14ac:dyDescent="0.3">
      <c r="A32" s="15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AD32">
        <f>782.29+3021.53+695.24+839.95+797.33+3814.67+711.55+743.2+1118.36+63.46</f>
        <v>12587.58</v>
      </c>
    </row>
    <row r="33" spans="1:16" x14ac:dyDescent="0.3">
      <c r="A33" s="9" t="s">
        <v>16</v>
      </c>
      <c r="B33" s="10"/>
      <c r="C33" s="10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0"/>
      <c r="O33" s="10"/>
      <c r="P33" s="18"/>
    </row>
    <row r="34" spans="1:16" x14ac:dyDescent="0.3">
      <c r="A34" s="9" t="s">
        <v>17</v>
      </c>
      <c r="B34" s="17"/>
      <c r="C34" s="17"/>
      <c r="D34" s="10"/>
      <c r="E34" s="10"/>
      <c r="F34" s="10"/>
      <c r="G34" s="10"/>
      <c r="H34" s="17"/>
      <c r="I34" s="17"/>
      <c r="J34" s="17"/>
      <c r="K34" s="17"/>
      <c r="L34" s="17"/>
      <c r="M34" s="17"/>
      <c r="N34" s="17"/>
      <c r="O34" s="17"/>
      <c r="P34" s="18"/>
    </row>
    <row r="35" spans="1:16" x14ac:dyDescent="0.3">
      <c r="A35" s="9" t="s">
        <v>21</v>
      </c>
      <c r="B35" s="20"/>
      <c r="C35" s="20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0"/>
      <c r="O35" s="10"/>
      <c r="P35" s="18"/>
    </row>
    <row r="36" spans="1:16" x14ac:dyDescent="0.3">
      <c r="A36" s="19" t="s">
        <v>18</v>
      </c>
      <c r="B36" s="17"/>
      <c r="C36" s="17"/>
      <c r="D36" s="17"/>
      <c r="E36" s="17"/>
      <c r="F36" s="17"/>
      <c r="G36" s="17"/>
      <c r="H36" s="20"/>
      <c r="I36" s="20"/>
      <c r="J36" s="20"/>
      <c r="K36" s="20"/>
      <c r="L36" s="17"/>
      <c r="M36" s="17"/>
      <c r="N36" s="17"/>
      <c r="O36" s="17"/>
      <c r="P36" s="18"/>
    </row>
    <row r="37" spans="1:16" x14ac:dyDescent="0.3">
      <c r="A37" s="8" t="s">
        <v>26</v>
      </c>
      <c r="B37" s="17"/>
      <c r="C37" s="17"/>
      <c r="D37" s="10"/>
      <c r="E37" s="10"/>
      <c r="F37" s="10"/>
      <c r="G37" s="10"/>
      <c r="H37" s="17"/>
      <c r="I37" s="17"/>
      <c r="J37" s="17"/>
      <c r="K37" s="17"/>
      <c r="L37" s="17"/>
      <c r="M37" s="17"/>
      <c r="N37" s="17"/>
      <c r="O37" s="17"/>
      <c r="P37" s="18"/>
    </row>
    <row r="38" spans="1:16" x14ac:dyDescent="0.3">
      <c r="A38" s="8" t="s">
        <v>41</v>
      </c>
      <c r="B38" s="10"/>
      <c r="C38" s="10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0"/>
      <c r="O38" s="10"/>
      <c r="P38" s="18"/>
    </row>
  </sheetData>
  <mergeCells count="46">
    <mergeCell ref="B1:P1"/>
    <mergeCell ref="B2:P2"/>
    <mergeCell ref="B3:C3"/>
    <mergeCell ref="D3:E3"/>
    <mergeCell ref="F3:G3"/>
    <mergeCell ref="H3:I3"/>
    <mergeCell ref="J3:K3"/>
    <mergeCell ref="L3:M3"/>
    <mergeCell ref="N3:O3"/>
    <mergeCell ref="N4:O4"/>
    <mergeCell ref="B5:C5"/>
    <mergeCell ref="D5:E5"/>
    <mergeCell ref="F5:G5"/>
    <mergeCell ref="H5:I5"/>
    <mergeCell ref="J5:K5"/>
    <mergeCell ref="L5:M5"/>
    <mergeCell ref="N5:O5"/>
    <mergeCell ref="B4:C4"/>
    <mergeCell ref="D4:E4"/>
    <mergeCell ref="F4:G4"/>
    <mergeCell ref="H4:I4"/>
    <mergeCell ref="J4:K4"/>
    <mergeCell ref="L4:M4"/>
    <mergeCell ref="B20:P20"/>
    <mergeCell ref="B21:P21"/>
    <mergeCell ref="B22:C22"/>
    <mergeCell ref="D22:E22"/>
    <mergeCell ref="F22:G22"/>
    <mergeCell ref="H22:I22"/>
    <mergeCell ref="J22:K22"/>
    <mergeCell ref="L22:M22"/>
    <mergeCell ref="N22:O22"/>
    <mergeCell ref="N23:O23"/>
    <mergeCell ref="B24:C24"/>
    <mergeCell ref="D24:E24"/>
    <mergeCell ref="F24:G24"/>
    <mergeCell ref="H24:I24"/>
    <mergeCell ref="J24:K24"/>
    <mergeCell ref="L24:M24"/>
    <mergeCell ref="N24:O24"/>
    <mergeCell ref="B23:C23"/>
    <mergeCell ref="D23:E23"/>
    <mergeCell ref="F23:G23"/>
    <mergeCell ref="H23:I23"/>
    <mergeCell ref="J23:K23"/>
    <mergeCell ref="L23:M2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37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E4C56-6166-4D97-8125-18743D9C8FB6}">
  <sheetPr>
    <pageSetUpPr fitToPage="1"/>
  </sheetPr>
  <dimension ref="A1:AD36"/>
  <sheetViews>
    <sheetView topLeftCell="A2" workbookViewId="0">
      <selection activeCell="D15" sqref="D15:M15"/>
    </sheetView>
  </sheetViews>
  <sheetFormatPr baseColWidth="10" defaultRowHeight="14.4" x14ac:dyDescent="0.3"/>
  <sheetData>
    <row r="1" spans="1:29" x14ac:dyDescent="0.3">
      <c r="A1" s="41" cm="1">
        <f t="array" aca="1" ref="A1" ca="1">A1:P35</f>
        <v>0</v>
      </c>
      <c r="B1" s="76" t="s">
        <v>0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</row>
    <row r="2" spans="1:29" x14ac:dyDescent="0.3">
      <c r="A2" s="42"/>
      <c r="B2" s="76" t="s">
        <v>44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</row>
    <row r="3" spans="1:29" x14ac:dyDescent="0.3">
      <c r="A3" s="43"/>
      <c r="B3" s="77" t="s">
        <v>1</v>
      </c>
      <c r="C3" s="77"/>
      <c r="D3" s="77" t="s">
        <v>2</v>
      </c>
      <c r="E3" s="77"/>
      <c r="F3" s="77" t="s">
        <v>3</v>
      </c>
      <c r="G3" s="77"/>
      <c r="H3" s="77" t="s">
        <v>4</v>
      </c>
      <c r="I3" s="77"/>
      <c r="J3" s="77" t="s">
        <v>5</v>
      </c>
      <c r="K3" s="77"/>
      <c r="L3" s="77" t="s">
        <v>6</v>
      </c>
      <c r="M3" s="77"/>
      <c r="N3" s="77" t="s">
        <v>7</v>
      </c>
      <c r="O3" s="77"/>
      <c r="P3" s="44" t="s">
        <v>8</v>
      </c>
      <c r="W3" s="25" t="e">
        <f t="shared" ref="W3:W19" si="0">C3-B3</f>
        <v>#VALUE!</v>
      </c>
      <c r="X3" s="25" t="e">
        <f t="shared" ref="X3:X19" si="1">E3-D3</f>
        <v>#VALUE!</v>
      </c>
      <c r="Y3" s="25" t="e">
        <f t="shared" ref="Y3:Y19" si="2">G3-F3</f>
        <v>#VALUE!</v>
      </c>
      <c r="Z3" s="25" t="e">
        <f t="shared" ref="Z3:Z19" si="3">I3-H3</f>
        <v>#VALUE!</v>
      </c>
      <c r="AA3" s="25" t="e">
        <f t="shared" ref="AA3:AA19" si="4">K3-J3</f>
        <v>#VALUE!</v>
      </c>
      <c r="AB3" s="25" t="e">
        <f t="shared" ref="AB3:AB19" si="5">M3-L3</f>
        <v>#VALUE!</v>
      </c>
      <c r="AC3" s="25" t="e">
        <f t="shared" ref="AC3:AC19" si="6">O3-N3</f>
        <v>#VALUE!</v>
      </c>
    </row>
    <row r="4" spans="1:29" x14ac:dyDescent="0.3">
      <c r="A4" s="43"/>
      <c r="B4" s="66">
        <v>46104</v>
      </c>
      <c r="C4" s="66"/>
      <c r="D4" s="66">
        <v>46105</v>
      </c>
      <c r="E4" s="66"/>
      <c r="F4" s="66">
        <v>46106</v>
      </c>
      <c r="G4" s="66"/>
      <c r="H4" s="66">
        <v>46107</v>
      </c>
      <c r="I4" s="66"/>
      <c r="J4" s="66">
        <v>46108</v>
      </c>
      <c r="K4" s="66"/>
      <c r="L4" s="66">
        <v>46109</v>
      </c>
      <c r="M4" s="66"/>
      <c r="N4" s="66">
        <v>46110</v>
      </c>
      <c r="O4" s="66"/>
      <c r="P4" s="44"/>
      <c r="W4" s="25">
        <f t="shared" si="0"/>
        <v>-46104</v>
      </c>
      <c r="X4" s="25">
        <f t="shared" si="1"/>
        <v>-46105</v>
      </c>
      <c r="Y4" s="25">
        <f t="shared" si="2"/>
        <v>-46106</v>
      </c>
      <c r="Z4" s="25">
        <f t="shared" si="3"/>
        <v>-46107</v>
      </c>
      <c r="AA4" s="25">
        <f t="shared" si="4"/>
        <v>-46108</v>
      </c>
      <c r="AB4" s="25">
        <f t="shared" si="5"/>
        <v>-46109</v>
      </c>
      <c r="AC4" s="25">
        <f t="shared" si="6"/>
        <v>-46110</v>
      </c>
    </row>
    <row r="5" spans="1:29" x14ac:dyDescent="0.3">
      <c r="A5" s="45" t="s">
        <v>9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44"/>
      <c r="W5" s="25">
        <f t="shared" si="0"/>
        <v>0</v>
      </c>
      <c r="X5" s="25">
        <f t="shared" si="1"/>
        <v>0</v>
      </c>
      <c r="Y5" s="25">
        <f t="shared" si="2"/>
        <v>0</v>
      </c>
      <c r="Z5" s="25">
        <f t="shared" si="3"/>
        <v>0</v>
      </c>
      <c r="AA5" s="25">
        <f t="shared" si="4"/>
        <v>0</v>
      </c>
      <c r="AB5" s="25">
        <f t="shared" si="5"/>
        <v>0</v>
      </c>
      <c r="AC5" s="25">
        <f t="shared" si="6"/>
        <v>0</v>
      </c>
    </row>
    <row r="6" spans="1:29" x14ac:dyDescent="0.3">
      <c r="A6" s="46" t="s">
        <v>10</v>
      </c>
      <c r="B6" s="30">
        <v>0.41666666666666669</v>
      </c>
      <c r="C6" s="30">
        <v>0.70833333333333337</v>
      </c>
      <c r="D6" s="30">
        <v>0.39583333333333331</v>
      </c>
      <c r="E6" s="30">
        <v>0.72916666666666663</v>
      </c>
      <c r="F6" s="30">
        <v>0.375</v>
      </c>
      <c r="G6" s="30">
        <v>0.72916666666666663</v>
      </c>
      <c r="H6" s="30">
        <v>0.41666666666666669</v>
      </c>
      <c r="I6" s="30">
        <v>0.72916666666666663</v>
      </c>
      <c r="J6" s="30">
        <v>0.375</v>
      </c>
      <c r="K6" s="30">
        <v>0.70833333333333337</v>
      </c>
      <c r="L6" s="31"/>
      <c r="M6" s="31"/>
      <c r="N6" s="31"/>
      <c r="O6" s="31"/>
      <c r="P6" s="47">
        <f t="shared" ref="P6:P11" si="7">W6+X6+Y6+Z6+AA6+AB6+AC6</f>
        <v>1.625</v>
      </c>
      <c r="W6" s="25">
        <f t="shared" si="0"/>
        <v>0.29166666666666669</v>
      </c>
      <c r="X6" s="25">
        <f t="shared" si="1"/>
        <v>0.33333333333333331</v>
      </c>
      <c r="Y6" s="25">
        <f t="shared" si="2"/>
        <v>0.35416666666666663</v>
      </c>
      <c r="Z6" s="25">
        <f t="shared" si="3"/>
        <v>0.31249999999999994</v>
      </c>
      <c r="AA6" s="25">
        <f t="shared" si="4"/>
        <v>0.33333333333333337</v>
      </c>
      <c r="AB6" s="25">
        <f t="shared" si="5"/>
        <v>0</v>
      </c>
      <c r="AC6" s="25">
        <f t="shared" si="6"/>
        <v>0</v>
      </c>
    </row>
    <row r="7" spans="1:29" x14ac:dyDescent="0.3">
      <c r="A7" s="46" t="s">
        <v>12</v>
      </c>
      <c r="B7" s="34">
        <v>0.41666666666666669</v>
      </c>
      <c r="C7" s="34">
        <v>0.70833333333333337</v>
      </c>
      <c r="D7" s="34">
        <v>0.41666666666666669</v>
      </c>
      <c r="E7" s="34">
        <v>0.70833333333333337</v>
      </c>
      <c r="F7" s="34">
        <v>0.41666666666666669</v>
      </c>
      <c r="G7" s="34">
        <v>0.70833333333333337</v>
      </c>
      <c r="H7" s="34">
        <v>0.41666666666666669</v>
      </c>
      <c r="I7" s="34">
        <v>0.70833333333333337</v>
      </c>
      <c r="J7" s="34">
        <v>0.41666666666666669</v>
      </c>
      <c r="K7" s="34">
        <v>0.70833333333333337</v>
      </c>
      <c r="L7" s="31"/>
      <c r="M7" s="31"/>
      <c r="N7" s="31"/>
      <c r="O7" s="31"/>
      <c r="P7" s="47">
        <f t="shared" si="7"/>
        <v>1.4583333333333335</v>
      </c>
      <c r="W7" s="25">
        <f t="shared" si="0"/>
        <v>0.29166666666666669</v>
      </c>
      <c r="X7" s="25">
        <f t="shared" si="1"/>
        <v>0.29166666666666669</v>
      </c>
      <c r="Y7" s="25">
        <f t="shared" si="2"/>
        <v>0.29166666666666669</v>
      </c>
      <c r="Z7" s="25">
        <f t="shared" si="3"/>
        <v>0.29166666666666669</v>
      </c>
      <c r="AA7" s="25">
        <f t="shared" si="4"/>
        <v>0.29166666666666669</v>
      </c>
      <c r="AB7" s="25">
        <f t="shared" si="5"/>
        <v>0</v>
      </c>
      <c r="AC7" s="25">
        <f t="shared" si="6"/>
        <v>0</v>
      </c>
    </row>
    <row r="8" spans="1:29" x14ac:dyDescent="0.3">
      <c r="A8" s="45" t="s">
        <v>36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4">
        <v>0.48958333333333331</v>
      </c>
      <c r="M8" s="34">
        <v>0.63541666666666663</v>
      </c>
      <c r="N8" s="34">
        <v>0.48958333333333331</v>
      </c>
      <c r="O8" s="34">
        <v>0.63541666666666663</v>
      </c>
      <c r="P8" s="47">
        <f t="shared" si="7"/>
        <v>0.29166666666666663</v>
      </c>
      <c r="W8" s="25">
        <f t="shared" si="0"/>
        <v>0</v>
      </c>
      <c r="X8" s="25">
        <f t="shared" si="1"/>
        <v>0</v>
      </c>
      <c r="Y8" s="25">
        <f t="shared" si="2"/>
        <v>0</v>
      </c>
      <c r="Z8" s="25">
        <f t="shared" si="3"/>
        <v>0</v>
      </c>
      <c r="AA8" s="25">
        <f t="shared" si="4"/>
        <v>0</v>
      </c>
      <c r="AB8" s="25">
        <f t="shared" si="5"/>
        <v>0.14583333333333331</v>
      </c>
      <c r="AC8" s="25">
        <f t="shared" si="6"/>
        <v>0.14583333333333331</v>
      </c>
    </row>
    <row r="9" spans="1:29" x14ac:dyDescent="0.3">
      <c r="A9" s="45" t="s">
        <v>37</v>
      </c>
      <c r="B9" s="34">
        <v>0.39583333333333331</v>
      </c>
      <c r="C9" s="34">
        <v>0.72916666666666663</v>
      </c>
      <c r="D9" s="34">
        <v>0.39583333333333331</v>
      </c>
      <c r="E9" s="34">
        <v>0.70833333333333337</v>
      </c>
      <c r="F9" s="34">
        <v>0.375</v>
      </c>
      <c r="G9" s="34">
        <v>0.72916666666666663</v>
      </c>
      <c r="H9" s="31"/>
      <c r="I9" s="31"/>
      <c r="J9" s="31"/>
      <c r="K9" s="31"/>
      <c r="L9" s="34">
        <v>0.39583333333333331</v>
      </c>
      <c r="M9" s="34">
        <v>0.70833333333333337</v>
      </c>
      <c r="N9" s="34">
        <v>0.39583333333333331</v>
      </c>
      <c r="O9" s="34">
        <v>0.70833333333333337</v>
      </c>
      <c r="P9" s="47">
        <f t="shared" si="7"/>
        <v>1.625</v>
      </c>
      <c r="W9" s="25">
        <f t="shared" si="0"/>
        <v>0.33333333333333331</v>
      </c>
      <c r="X9" s="25">
        <f t="shared" si="1"/>
        <v>0.31250000000000006</v>
      </c>
      <c r="Y9" s="25">
        <f t="shared" si="2"/>
        <v>0.35416666666666663</v>
      </c>
      <c r="Z9" s="25">
        <f t="shared" si="3"/>
        <v>0</v>
      </c>
      <c r="AA9" s="25">
        <f t="shared" si="4"/>
        <v>0</v>
      </c>
      <c r="AB9" s="25">
        <f t="shared" si="5"/>
        <v>0.31250000000000006</v>
      </c>
      <c r="AC9" s="25">
        <f t="shared" si="6"/>
        <v>0.31250000000000006</v>
      </c>
    </row>
    <row r="10" spans="1:29" x14ac:dyDescent="0.3">
      <c r="A10" s="45" t="s">
        <v>42</v>
      </c>
      <c r="B10" s="34">
        <v>0.39583333333333331</v>
      </c>
      <c r="C10" s="34">
        <v>0.72916666666666663</v>
      </c>
      <c r="D10" s="34">
        <v>0.39583333333333331</v>
      </c>
      <c r="E10" s="34">
        <v>0.70833333333333337</v>
      </c>
      <c r="F10" s="31"/>
      <c r="G10" s="31"/>
      <c r="H10" s="31"/>
      <c r="I10" s="31"/>
      <c r="J10" s="34">
        <v>0.39583333333333331</v>
      </c>
      <c r="K10" s="34">
        <v>0.72916666666666663</v>
      </c>
      <c r="L10" s="34">
        <v>0.39583333333333331</v>
      </c>
      <c r="M10" s="34">
        <v>0.72916666666666663</v>
      </c>
      <c r="N10" s="34">
        <v>0.39583333333333331</v>
      </c>
      <c r="O10" s="34">
        <v>0.70833333333333337</v>
      </c>
      <c r="P10" s="47">
        <f t="shared" si="7"/>
        <v>1.625</v>
      </c>
      <c r="W10" s="25">
        <f t="shared" si="0"/>
        <v>0.33333333333333331</v>
      </c>
      <c r="X10" s="25">
        <f t="shared" si="1"/>
        <v>0.31250000000000006</v>
      </c>
      <c r="Y10" s="25">
        <f t="shared" si="2"/>
        <v>0</v>
      </c>
      <c r="Z10" s="25">
        <f t="shared" si="3"/>
        <v>0</v>
      </c>
      <c r="AA10" s="25">
        <f t="shared" si="4"/>
        <v>0.33333333333333331</v>
      </c>
      <c r="AB10" s="25">
        <f t="shared" si="5"/>
        <v>0.33333333333333331</v>
      </c>
      <c r="AC10" s="25">
        <f t="shared" si="6"/>
        <v>0.31250000000000006</v>
      </c>
    </row>
    <row r="11" spans="1:29" x14ac:dyDescent="0.3">
      <c r="A11" s="45" t="s">
        <v>14</v>
      </c>
      <c r="B11" s="34">
        <v>0.39583333333333331</v>
      </c>
      <c r="C11" s="34">
        <v>0.70833333333333337</v>
      </c>
      <c r="D11" s="31"/>
      <c r="E11" s="31"/>
      <c r="F11" s="31"/>
      <c r="G11" s="31"/>
      <c r="H11" s="34">
        <v>0.39583333333333331</v>
      </c>
      <c r="I11" s="34">
        <v>0.72916666666666663</v>
      </c>
      <c r="J11" s="34">
        <v>0.375</v>
      </c>
      <c r="K11" s="34">
        <v>0.70833333333333337</v>
      </c>
      <c r="L11" s="34">
        <v>0.39583333333333331</v>
      </c>
      <c r="M11" s="34">
        <v>0.72916666666666663</v>
      </c>
      <c r="N11" s="34">
        <v>0.39583333333333331</v>
      </c>
      <c r="O11" s="34">
        <v>0.70833333333333337</v>
      </c>
      <c r="P11" s="47">
        <f t="shared" si="7"/>
        <v>1.625</v>
      </c>
      <c r="W11" s="25">
        <f t="shared" si="0"/>
        <v>0.31250000000000006</v>
      </c>
      <c r="X11" s="25">
        <f t="shared" si="1"/>
        <v>0</v>
      </c>
      <c r="Y11" s="25">
        <f t="shared" si="2"/>
        <v>0</v>
      </c>
      <c r="Z11" s="25">
        <f t="shared" si="3"/>
        <v>0.33333333333333331</v>
      </c>
      <c r="AA11" s="25">
        <f t="shared" si="4"/>
        <v>0.33333333333333337</v>
      </c>
      <c r="AB11" s="25">
        <f t="shared" si="5"/>
        <v>0.33333333333333331</v>
      </c>
      <c r="AC11" s="25">
        <f t="shared" si="6"/>
        <v>0.31250000000000006</v>
      </c>
    </row>
    <row r="12" spans="1:29" x14ac:dyDescent="0.3">
      <c r="A12" s="48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W12" s="25">
        <f t="shared" si="0"/>
        <v>0</v>
      </c>
      <c r="X12" s="25">
        <f t="shared" si="1"/>
        <v>0</v>
      </c>
      <c r="Y12" s="25">
        <f t="shared" si="2"/>
        <v>0</v>
      </c>
      <c r="Z12" s="25">
        <f t="shared" si="3"/>
        <v>0</v>
      </c>
      <c r="AA12" s="25">
        <f t="shared" si="4"/>
        <v>0</v>
      </c>
      <c r="AB12" s="25">
        <f t="shared" si="5"/>
        <v>0</v>
      </c>
      <c r="AC12" s="25">
        <f t="shared" si="6"/>
        <v>0</v>
      </c>
    </row>
    <row r="13" spans="1:29" x14ac:dyDescent="0.3">
      <c r="A13" s="46" t="s">
        <v>16</v>
      </c>
      <c r="B13" s="31"/>
      <c r="C13" s="31"/>
      <c r="D13" s="37">
        <v>0.70833333333333337</v>
      </c>
      <c r="E13" s="37">
        <v>1.0625</v>
      </c>
      <c r="F13" s="37">
        <v>0.72916666666666663</v>
      </c>
      <c r="G13" s="37">
        <v>1.0625</v>
      </c>
      <c r="H13" s="37">
        <v>0.70833333333333304</v>
      </c>
      <c r="I13" s="37">
        <v>1.0625</v>
      </c>
      <c r="J13" s="37">
        <v>0.70833333333333304</v>
      </c>
      <c r="K13" s="37">
        <v>1.0625</v>
      </c>
      <c r="L13" s="37">
        <v>0.70833333333333304</v>
      </c>
      <c r="M13" s="37">
        <v>1.0625</v>
      </c>
      <c r="N13" s="31"/>
      <c r="O13" s="31"/>
      <c r="P13" s="49">
        <f t="shared" ref="P13:P18" si="8">W13+X13+Y13+Z13+AA13+AB13+AC13</f>
        <v>1.7500000000000009</v>
      </c>
      <c r="W13" s="25">
        <f t="shared" si="0"/>
        <v>0</v>
      </c>
      <c r="X13" s="25">
        <f t="shared" si="1"/>
        <v>0.35416666666666663</v>
      </c>
      <c r="Y13" s="25">
        <f t="shared" si="2"/>
        <v>0.33333333333333337</v>
      </c>
      <c r="Z13" s="25">
        <f t="shared" si="3"/>
        <v>0.35416666666666696</v>
      </c>
      <c r="AA13" s="25">
        <f t="shared" si="4"/>
        <v>0.35416666666666696</v>
      </c>
      <c r="AB13" s="25">
        <f t="shared" si="5"/>
        <v>0.35416666666666696</v>
      </c>
      <c r="AC13" s="25">
        <f t="shared" si="6"/>
        <v>0</v>
      </c>
    </row>
    <row r="14" spans="1:29" x14ac:dyDescent="0.3">
      <c r="A14" s="46" t="s">
        <v>17</v>
      </c>
      <c r="B14" s="37">
        <v>0.70833333333333337</v>
      </c>
      <c r="C14" s="37">
        <v>1.0208333333333299</v>
      </c>
      <c r="D14" s="31"/>
      <c r="E14" s="31"/>
      <c r="F14" s="31"/>
      <c r="G14" s="31"/>
      <c r="H14" s="37">
        <v>0.70833333333333337</v>
      </c>
      <c r="I14" s="37">
        <v>1.0625</v>
      </c>
      <c r="J14" s="37">
        <v>0.70833333333333304</v>
      </c>
      <c r="K14" s="37">
        <v>1.0625</v>
      </c>
      <c r="L14" s="37">
        <v>0.6875</v>
      </c>
      <c r="M14" s="37">
        <v>1.0625</v>
      </c>
      <c r="N14" s="37">
        <v>0.66666666666666663</v>
      </c>
      <c r="O14" s="37">
        <v>1.0208333333333333</v>
      </c>
      <c r="P14" s="49">
        <f t="shared" si="8"/>
        <v>1.7499999999999969</v>
      </c>
      <c r="W14" s="25">
        <f t="shared" si="0"/>
        <v>0.31249999999999656</v>
      </c>
      <c r="X14" s="25">
        <f t="shared" si="1"/>
        <v>0</v>
      </c>
      <c r="Y14" s="25">
        <f t="shared" si="2"/>
        <v>0</v>
      </c>
      <c r="Z14" s="25">
        <f t="shared" si="3"/>
        <v>0.35416666666666663</v>
      </c>
      <c r="AA14" s="25">
        <f t="shared" si="4"/>
        <v>0.35416666666666696</v>
      </c>
      <c r="AB14" s="25">
        <f t="shared" si="5"/>
        <v>0.375</v>
      </c>
      <c r="AC14" s="25">
        <f t="shared" si="6"/>
        <v>0.35416666666666663</v>
      </c>
    </row>
    <row r="15" spans="1:29" x14ac:dyDescent="0.3">
      <c r="A15" s="46" t="s">
        <v>21</v>
      </c>
      <c r="B15" s="39"/>
      <c r="C15" s="39"/>
      <c r="D15" s="37">
        <v>0.70833333333333337</v>
      </c>
      <c r="E15" s="37">
        <v>1.0625</v>
      </c>
      <c r="F15" s="37">
        <v>0.70833333333333337</v>
      </c>
      <c r="G15" s="37">
        <v>1.0625</v>
      </c>
      <c r="H15" s="37">
        <v>0.72916666666666663</v>
      </c>
      <c r="I15" s="37">
        <v>1.0625</v>
      </c>
      <c r="J15" s="37">
        <v>0.70833333333333337</v>
      </c>
      <c r="K15" s="37">
        <v>1.0625</v>
      </c>
      <c r="L15" s="37">
        <v>0.70833333333333337</v>
      </c>
      <c r="M15" s="37">
        <v>1.0625</v>
      </c>
      <c r="N15" s="31"/>
      <c r="O15" s="31"/>
      <c r="P15" s="49">
        <f t="shared" si="8"/>
        <v>1.7499999999999996</v>
      </c>
      <c r="W15" s="25">
        <f t="shared" si="0"/>
        <v>0</v>
      </c>
      <c r="X15" s="25">
        <f t="shared" si="1"/>
        <v>0.35416666666666663</v>
      </c>
      <c r="Y15" s="25">
        <f t="shared" si="2"/>
        <v>0.35416666666666663</v>
      </c>
      <c r="Z15" s="25">
        <f t="shared" si="3"/>
        <v>0.33333333333333337</v>
      </c>
      <c r="AA15" s="25">
        <f t="shared" si="4"/>
        <v>0.35416666666666663</v>
      </c>
      <c r="AB15" s="25">
        <f t="shared" si="5"/>
        <v>0.35416666666666663</v>
      </c>
      <c r="AC15" s="25">
        <f t="shared" si="6"/>
        <v>0</v>
      </c>
    </row>
    <row r="16" spans="1:29" x14ac:dyDescent="0.3">
      <c r="A16" s="45" t="s">
        <v>18</v>
      </c>
      <c r="B16" s="37">
        <v>0.72916666666666663</v>
      </c>
      <c r="C16" s="37">
        <v>1.0208333333333299</v>
      </c>
      <c r="D16" s="37">
        <v>0.70833333333333337</v>
      </c>
      <c r="E16" s="37">
        <v>1.0625</v>
      </c>
      <c r="F16" s="37">
        <v>0.75</v>
      </c>
      <c r="G16" s="37">
        <v>1.0625</v>
      </c>
      <c r="H16" s="39"/>
      <c r="I16" s="39"/>
      <c r="J16" s="39"/>
      <c r="K16" s="39"/>
      <c r="L16" s="37">
        <v>0.70833333333333337</v>
      </c>
      <c r="M16" s="37">
        <v>1.0625</v>
      </c>
      <c r="N16" s="37">
        <v>0.70833333333333337</v>
      </c>
      <c r="O16" s="37">
        <v>1.0208333333333333</v>
      </c>
      <c r="P16" s="49">
        <f t="shared" si="8"/>
        <v>1.6249999999999964</v>
      </c>
      <c r="W16" s="25">
        <f t="shared" si="0"/>
        <v>0.2916666666666633</v>
      </c>
      <c r="X16" s="25">
        <f t="shared" si="1"/>
        <v>0.35416666666666663</v>
      </c>
      <c r="Y16" s="25">
        <f t="shared" si="2"/>
        <v>0.3125</v>
      </c>
      <c r="Z16" s="25">
        <f t="shared" si="3"/>
        <v>0</v>
      </c>
      <c r="AA16" s="25">
        <f t="shared" si="4"/>
        <v>0</v>
      </c>
      <c r="AB16" s="25">
        <f t="shared" si="5"/>
        <v>0.35416666666666663</v>
      </c>
      <c r="AC16" s="25">
        <f t="shared" si="6"/>
        <v>0.31249999999999989</v>
      </c>
    </row>
    <row r="17" spans="1:30" x14ac:dyDescent="0.3">
      <c r="A17" s="45" t="s">
        <v>26</v>
      </c>
      <c r="B17" s="37">
        <v>0.72916666666666663</v>
      </c>
      <c r="C17" s="37">
        <v>1.0208333333333333</v>
      </c>
      <c r="D17" s="31"/>
      <c r="E17" s="31"/>
      <c r="F17" s="31"/>
      <c r="G17" s="31"/>
      <c r="H17" s="37">
        <v>0.75</v>
      </c>
      <c r="I17" s="37">
        <v>1.0625</v>
      </c>
      <c r="J17" s="37">
        <v>0.75</v>
      </c>
      <c r="K17" s="37">
        <v>1.0625</v>
      </c>
      <c r="L17" s="37">
        <v>0.70833333333333337</v>
      </c>
      <c r="M17" s="37">
        <v>1.0625</v>
      </c>
      <c r="N17" s="37">
        <v>0.66666666666666663</v>
      </c>
      <c r="O17" s="37">
        <v>1.0208333333333333</v>
      </c>
      <c r="P17" s="49">
        <f t="shared" si="8"/>
        <v>1.625</v>
      </c>
      <c r="W17" s="25">
        <f t="shared" si="0"/>
        <v>0.29166666666666663</v>
      </c>
      <c r="X17" s="25">
        <f t="shared" si="1"/>
        <v>0</v>
      </c>
      <c r="Y17" s="25">
        <f t="shared" si="2"/>
        <v>0</v>
      </c>
      <c r="Z17" s="25">
        <f t="shared" si="3"/>
        <v>0.3125</v>
      </c>
      <c r="AA17" s="25">
        <f t="shared" si="4"/>
        <v>0.3125</v>
      </c>
      <c r="AB17" s="25">
        <f t="shared" si="5"/>
        <v>0.35416666666666663</v>
      </c>
      <c r="AC17" s="25">
        <f t="shared" si="6"/>
        <v>0.35416666666666663</v>
      </c>
    </row>
    <row r="18" spans="1:30" x14ac:dyDescent="0.3">
      <c r="A18" s="45" t="s">
        <v>41</v>
      </c>
      <c r="B18" s="31"/>
      <c r="C18" s="31"/>
      <c r="D18" s="37">
        <v>0.75</v>
      </c>
      <c r="E18" s="37">
        <v>1.0625</v>
      </c>
      <c r="F18" s="37">
        <v>0.72916666666666663</v>
      </c>
      <c r="G18" s="37">
        <v>1.0625</v>
      </c>
      <c r="H18" s="37">
        <v>0.75</v>
      </c>
      <c r="I18" s="37">
        <v>1.0625</v>
      </c>
      <c r="J18" s="37">
        <v>0.75</v>
      </c>
      <c r="K18" s="37">
        <v>1.0625</v>
      </c>
      <c r="L18" s="37">
        <v>0.70833333333333337</v>
      </c>
      <c r="M18" s="37">
        <v>1.0625</v>
      </c>
      <c r="N18" s="31"/>
      <c r="O18" s="31"/>
      <c r="P18" s="49">
        <f t="shared" si="8"/>
        <v>1.625</v>
      </c>
      <c r="W18" s="25">
        <f t="shared" si="0"/>
        <v>0</v>
      </c>
      <c r="X18" s="25">
        <f t="shared" si="1"/>
        <v>0.3125</v>
      </c>
      <c r="Y18" s="25">
        <f t="shared" si="2"/>
        <v>0.33333333333333337</v>
      </c>
      <c r="Z18" s="25">
        <f t="shared" si="3"/>
        <v>0.3125</v>
      </c>
      <c r="AA18" s="25">
        <f t="shared" si="4"/>
        <v>0.3125</v>
      </c>
      <c r="AB18" s="25">
        <f t="shared" si="5"/>
        <v>0.35416666666666663</v>
      </c>
      <c r="AC18" s="25">
        <f t="shared" si="6"/>
        <v>0</v>
      </c>
    </row>
    <row r="19" spans="1:30" x14ac:dyDescent="0.3">
      <c r="A19" s="41" t="e" cm="1">
        <f t="array" ref="A19">+A19:PA19:P+A19:P363628A1:P2A1:P47</f>
        <v>#NAME?</v>
      </c>
      <c r="B19" s="76" t="s">
        <v>0</v>
      </c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W19" s="25" t="e">
        <f t="shared" si="0"/>
        <v>#VALUE!</v>
      </c>
      <c r="X19" s="25">
        <f t="shared" si="1"/>
        <v>0</v>
      </c>
      <c r="Y19" s="25">
        <f t="shared" si="2"/>
        <v>0</v>
      </c>
      <c r="Z19" s="25">
        <f t="shared" si="3"/>
        <v>0</v>
      </c>
      <c r="AA19" s="25">
        <f t="shared" si="4"/>
        <v>0</v>
      </c>
      <c r="AB19" s="25">
        <f t="shared" si="5"/>
        <v>0</v>
      </c>
      <c r="AC19" s="25">
        <f t="shared" si="6"/>
        <v>0</v>
      </c>
    </row>
    <row r="20" spans="1:30" ht="15" customHeight="1" x14ac:dyDescent="0.3">
      <c r="A20" s="42"/>
      <c r="B20" s="76" t="str">
        <f>B2</f>
        <v>SEMAINE 13</v>
      </c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</row>
    <row r="21" spans="1:30" x14ac:dyDescent="0.3">
      <c r="A21" s="43"/>
      <c r="B21" s="77" t="s">
        <v>1</v>
      </c>
      <c r="C21" s="77"/>
      <c r="D21" s="77" t="s">
        <v>2</v>
      </c>
      <c r="E21" s="77"/>
      <c r="F21" s="77" t="s">
        <v>3</v>
      </c>
      <c r="G21" s="77"/>
      <c r="H21" s="77" t="s">
        <v>4</v>
      </c>
      <c r="I21" s="77"/>
      <c r="J21" s="77" t="s">
        <v>5</v>
      </c>
      <c r="K21" s="77"/>
      <c r="L21" s="77" t="s">
        <v>6</v>
      </c>
      <c r="M21" s="77"/>
      <c r="N21" s="77" t="s">
        <v>7</v>
      </c>
      <c r="O21" s="77"/>
      <c r="P21" s="44" t="s">
        <v>8</v>
      </c>
    </row>
    <row r="22" spans="1:30" x14ac:dyDescent="0.3">
      <c r="A22" s="43"/>
      <c r="B22" s="66">
        <f>B4</f>
        <v>46104</v>
      </c>
      <c r="C22" s="66"/>
      <c r="D22" s="66">
        <f>D4</f>
        <v>46105</v>
      </c>
      <c r="E22" s="66"/>
      <c r="F22" s="66">
        <f>F4</f>
        <v>46106</v>
      </c>
      <c r="G22" s="66"/>
      <c r="H22" s="66">
        <f>H4</f>
        <v>46107</v>
      </c>
      <c r="I22" s="66"/>
      <c r="J22" s="66">
        <f>J4</f>
        <v>46108</v>
      </c>
      <c r="K22" s="66"/>
      <c r="L22" s="66">
        <f>L4</f>
        <v>46109</v>
      </c>
      <c r="M22" s="66"/>
      <c r="N22" s="66">
        <f>N4</f>
        <v>46110</v>
      </c>
      <c r="O22" s="66"/>
      <c r="P22" s="44"/>
    </row>
    <row r="23" spans="1:30" x14ac:dyDescent="0.3">
      <c r="A23" s="45" t="s">
        <v>9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44"/>
    </row>
    <row r="24" spans="1:30" x14ac:dyDescent="0.3">
      <c r="A24" s="46" t="s">
        <v>10</v>
      </c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1"/>
      <c r="M24" s="31"/>
      <c r="N24" s="31"/>
      <c r="O24" s="31"/>
      <c r="P24" s="47"/>
    </row>
    <row r="25" spans="1:30" x14ac:dyDescent="0.3">
      <c r="A25" s="46" t="s">
        <v>12</v>
      </c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1"/>
      <c r="M25" s="31"/>
      <c r="N25" s="31"/>
      <c r="O25" s="31"/>
      <c r="P25" s="47"/>
    </row>
    <row r="26" spans="1:30" x14ac:dyDescent="0.3">
      <c r="A26" s="45" t="s">
        <v>36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4"/>
      <c r="M26" s="34"/>
      <c r="N26" s="34"/>
      <c r="O26" s="34"/>
      <c r="P26" s="47"/>
    </row>
    <row r="27" spans="1:30" x14ac:dyDescent="0.3">
      <c r="A27" s="45" t="s">
        <v>37</v>
      </c>
      <c r="B27" s="34"/>
      <c r="C27" s="34"/>
      <c r="D27" s="34"/>
      <c r="E27" s="34"/>
      <c r="F27" s="34"/>
      <c r="G27" s="34"/>
      <c r="H27" s="31"/>
      <c r="I27" s="31"/>
      <c r="J27" s="31"/>
      <c r="K27" s="31"/>
      <c r="L27" s="34"/>
      <c r="M27" s="34"/>
      <c r="N27" s="34"/>
      <c r="O27" s="34"/>
      <c r="P27" s="47"/>
    </row>
    <row r="28" spans="1:30" x14ac:dyDescent="0.3">
      <c r="A28" s="45" t="s">
        <v>42</v>
      </c>
      <c r="B28" s="34"/>
      <c r="C28" s="34"/>
      <c r="D28" s="34"/>
      <c r="E28" s="34"/>
      <c r="F28" s="31"/>
      <c r="G28" s="31"/>
      <c r="H28" s="31"/>
      <c r="I28" s="31"/>
      <c r="J28" s="34"/>
      <c r="K28" s="34"/>
      <c r="L28" s="34"/>
      <c r="M28" s="34"/>
      <c r="N28" s="34"/>
      <c r="O28" s="34"/>
      <c r="P28" s="47"/>
    </row>
    <row r="29" spans="1:30" x14ac:dyDescent="0.3">
      <c r="A29" s="45" t="s">
        <v>14</v>
      </c>
      <c r="B29" s="34"/>
      <c r="C29" s="34"/>
      <c r="D29" s="31"/>
      <c r="E29" s="31"/>
      <c r="F29" s="31"/>
      <c r="G29" s="31"/>
      <c r="H29" s="34"/>
      <c r="I29" s="34"/>
      <c r="J29" s="34"/>
      <c r="K29" s="34"/>
      <c r="L29" s="34"/>
      <c r="M29" s="34"/>
      <c r="N29" s="34"/>
      <c r="O29" s="34"/>
      <c r="P29" s="47"/>
    </row>
    <row r="30" spans="1:30" x14ac:dyDescent="0.3">
      <c r="A30" s="48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AD30">
        <f>782.29+3021.53+695.24+839.95+797.33+3814.67+711.55+743.2+1118.36+63.46</f>
        <v>12587.58</v>
      </c>
    </row>
    <row r="31" spans="1:30" x14ac:dyDescent="0.3">
      <c r="A31" s="46" t="s">
        <v>16</v>
      </c>
      <c r="B31" s="31"/>
      <c r="C31" s="31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1"/>
      <c r="O31" s="31"/>
      <c r="P31" s="49"/>
    </row>
    <row r="32" spans="1:30" x14ac:dyDescent="0.3">
      <c r="A32" s="46" t="s">
        <v>17</v>
      </c>
      <c r="B32" s="37"/>
      <c r="C32" s="37"/>
      <c r="D32" s="31"/>
      <c r="E32" s="31"/>
      <c r="F32" s="31"/>
      <c r="G32" s="31"/>
      <c r="H32" s="37"/>
      <c r="I32" s="37"/>
      <c r="J32" s="37"/>
      <c r="K32" s="37"/>
      <c r="L32" s="37"/>
      <c r="M32" s="37"/>
      <c r="N32" s="37"/>
      <c r="O32" s="37"/>
      <c r="P32" s="49"/>
    </row>
    <row r="33" spans="1:16" x14ac:dyDescent="0.3">
      <c r="A33" s="46" t="s">
        <v>21</v>
      </c>
      <c r="B33" s="39"/>
      <c r="C33" s="39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1"/>
      <c r="O33" s="31"/>
      <c r="P33" s="49"/>
    </row>
    <row r="34" spans="1:16" x14ac:dyDescent="0.3">
      <c r="A34" s="45" t="s">
        <v>18</v>
      </c>
      <c r="B34" s="37"/>
      <c r="C34" s="37"/>
      <c r="D34" s="37"/>
      <c r="E34" s="37"/>
      <c r="F34" s="37"/>
      <c r="G34" s="37"/>
      <c r="H34" s="39"/>
      <c r="I34" s="39"/>
      <c r="J34" s="39"/>
      <c r="K34" s="39"/>
      <c r="L34" s="37"/>
      <c r="M34" s="37"/>
      <c r="N34" s="37"/>
      <c r="O34" s="37"/>
      <c r="P34" s="49"/>
    </row>
    <row r="35" spans="1:16" x14ac:dyDescent="0.3">
      <c r="A35" s="45" t="s">
        <v>26</v>
      </c>
      <c r="B35" s="37"/>
      <c r="C35" s="37"/>
      <c r="D35" s="31"/>
      <c r="E35" s="31"/>
      <c r="F35" s="31"/>
      <c r="G35" s="31"/>
      <c r="H35" s="37"/>
      <c r="I35" s="37"/>
      <c r="J35" s="37"/>
      <c r="K35" s="37"/>
      <c r="L35" s="37"/>
      <c r="M35" s="37"/>
      <c r="N35" s="37"/>
      <c r="O35" s="37"/>
      <c r="P35" s="49"/>
    </row>
    <row r="36" spans="1:16" x14ac:dyDescent="0.3">
      <c r="A36" s="45" t="s">
        <v>41</v>
      </c>
      <c r="B36" s="31"/>
      <c r="C36" s="31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1"/>
      <c r="O36" s="31"/>
      <c r="P36" s="49"/>
    </row>
  </sheetData>
  <mergeCells count="46">
    <mergeCell ref="N22:O22"/>
    <mergeCell ref="B23:C23"/>
    <mergeCell ref="D23:E23"/>
    <mergeCell ref="F23:G23"/>
    <mergeCell ref="H23:I23"/>
    <mergeCell ref="J23:K23"/>
    <mergeCell ref="L23:M23"/>
    <mergeCell ref="N23:O23"/>
    <mergeCell ref="B22:C22"/>
    <mergeCell ref="D22:E22"/>
    <mergeCell ref="F22:G22"/>
    <mergeCell ref="H22:I22"/>
    <mergeCell ref="J22:K22"/>
    <mergeCell ref="L22:M22"/>
    <mergeCell ref="B19:P19"/>
    <mergeCell ref="B20:P20"/>
    <mergeCell ref="B21:C21"/>
    <mergeCell ref="D21:E21"/>
    <mergeCell ref="F21:G21"/>
    <mergeCell ref="H21:I21"/>
    <mergeCell ref="J21:K21"/>
    <mergeCell ref="L21:M21"/>
    <mergeCell ref="N21:O21"/>
    <mergeCell ref="N4:O4"/>
    <mergeCell ref="B5:C5"/>
    <mergeCell ref="D5:E5"/>
    <mergeCell ref="F5:G5"/>
    <mergeCell ref="H5:I5"/>
    <mergeCell ref="J5:K5"/>
    <mergeCell ref="L5:M5"/>
    <mergeCell ref="N5:O5"/>
    <mergeCell ref="B4:C4"/>
    <mergeCell ref="D4:E4"/>
    <mergeCell ref="F4:G4"/>
    <mergeCell ref="H4:I4"/>
    <mergeCell ref="J4:K4"/>
    <mergeCell ref="L4:M4"/>
    <mergeCell ref="B1:P1"/>
    <mergeCell ref="B2:P2"/>
    <mergeCell ref="B3:C3"/>
    <mergeCell ref="D3:E3"/>
    <mergeCell ref="F3:G3"/>
    <mergeCell ref="H3:I3"/>
    <mergeCell ref="J3:K3"/>
    <mergeCell ref="L3:M3"/>
    <mergeCell ref="N3:O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2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C09AC-1BB9-45AA-BF2D-B600F2109328}">
  <sheetPr>
    <pageSetUpPr fitToPage="1"/>
  </sheetPr>
  <dimension ref="A1:AD36"/>
  <sheetViews>
    <sheetView workbookViewId="0">
      <selection activeCell="B20" sqref="B20:P20"/>
    </sheetView>
  </sheetViews>
  <sheetFormatPr baseColWidth="10" defaultRowHeight="14.4" x14ac:dyDescent="0.3"/>
  <sheetData>
    <row r="1" spans="1:29" ht="15" thickBot="1" x14ac:dyDescent="0.35">
      <c r="A1" s="1" cm="1">
        <f t="array" aca="1" ref="A1" ca="1">A1:P35</f>
        <v>0</v>
      </c>
      <c r="B1" s="62" t="s">
        <v>0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3"/>
    </row>
    <row r="2" spans="1:29" ht="15" thickBot="1" x14ac:dyDescent="0.35">
      <c r="A2" s="22"/>
      <c r="B2" s="62" t="str">
        <f ca="1">"SEMAINE "&amp;_xlfn.SHEET()</f>
        <v>SEMAINE 14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3"/>
    </row>
    <row r="3" spans="1:29" x14ac:dyDescent="0.3">
      <c r="A3" s="23"/>
      <c r="B3" s="64" t="s">
        <v>1</v>
      </c>
      <c r="C3" s="65"/>
      <c r="D3" s="64" t="s">
        <v>2</v>
      </c>
      <c r="E3" s="65"/>
      <c r="F3" s="64" t="s">
        <v>3</v>
      </c>
      <c r="G3" s="65"/>
      <c r="H3" s="64" t="s">
        <v>4</v>
      </c>
      <c r="I3" s="65"/>
      <c r="J3" s="64" t="s">
        <v>5</v>
      </c>
      <c r="K3" s="65"/>
      <c r="L3" s="64" t="s">
        <v>6</v>
      </c>
      <c r="M3" s="65"/>
      <c r="N3" s="64" t="s">
        <v>7</v>
      </c>
      <c r="O3" s="65"/>
      <c r="P3" s="24" t="s">
        <v>8</v>
      </c>
      <c r="W3" s="25" t="e">
        <f t="shared" ref="W3:W19" si="0">C3-B3</f>
        <v>#VALUE!</v>
      </c>
      <c r="X3" s="25" t="e">
        <f t="shared" ref="X3:X19" si="1">E3-D3</f>
        <v>#VALUE!</v>
      </c>
      <c r="Y3" s="25" t="e">
        <f t="shared" ref="Y3:Y19" si="2">G3-F3</f>
        <v>#VALUE!</v>
      </c>
      <c r="Z3" s="25" t="e">
        <f t="shared" ref="Z3:Z19" si="3">I3-H3</f>
        <v>#VALUE!</v>
      </c>
      <c r="AA3" s="25" t="e">
        <f t="shared" ref="AA3:AA19" si="4">K3-J3</f>
        <v>#VALUE!</v>
      </c>
      <c r="AB3" s="25" t="e">
        <f t="shared" ref="AB3:AB19" si="5">M3-L3</f>
        <v>#VALUE!</v>
      </c>
      <c r="AC3" s="25" t="e">
        <f t="shared" ref="AC3:AC19" si="6">O3-N3</f>
        <v>#VALUE!</v>
      </c>
    </row>
    <row r="4" spans="1:29" x14ac:dyDescent="0.3">
      <c r="A4" s="26"/>
      <c r="B4" s="66">
        <v>46111</v>
      </c>
      <c r="C4" s="66"/>
      <c r="D4" s="66">
        <v>46112</v>
      </c>
      <c r="E4" s="66"/>
      <c r="F4" s="66">
        <v>46113</v>
      </c>
      <c r="G4" s="66"/>
      <c r="H4" s="66">
        <v>46114</v>
      </c>
      <c r="I4" s="66"/>
      <c r="J4" s="66">
        <v>46115</v>
      </c>
      <c r="K4" s="66"/>
      <c r="L4" s="66">
        <v>46116</v>
      </c>
      <c r="M4" s="66"/>
      <c r="N4" s="66">
        <v>46117</v>
      </c>
      <c r="O4" s="66"/>
      <c r="P4" s="27"/>
      <c r="W4" s="25">
        <f t="shared" si="0"/>
        <v>-46111</v>
      </c>
      <c r="X4" s="25">
        <f t="shared" si="1"/>
        <v>-46112</v>
      </c>
      <c r="Y4" s="25">
        <f t="shared" si="2"/>
        <v>-46113</v>
      </c>
      <c r="Z4" s="25">
        <f t="shared" si="3"/>
        <v>-46114</v>
      </c>
      <c r="AA4" s="25">
        <f t="shared" si="4"/>
        <v>-46115</v>
      </c>
      <c r="AB4" s="25">
        <f t="shared" si="5"/>
        <v>-46116</v>
      </c>
      <c r="AC4" s="25">
        <f t="shared" si="6"/>
        <v>-46117</v>
      </c>
    </row>
    <row r="5" spans="1:29" x14ac:dyDescent="0.3">
      <c r="A5" s="28" t="s">
        <v>9</v>
      </c>
      <c r="B5" s="58"/>
      <c r="C5" s="59"/>
      <c r="D5" s="58"/>
      <c r="E5" s="59"/>
      <c r="F5" s="58"/>
      <c r="G5" s="59"/>
      <c r="H5" s="58"/>
      <c r="I5" s="59"/>
      <c r="J5" s="58"/>
      <c r="K5" s="59"/>
      <c r="L5" s="58"/>
      <c r="M5" s="59"/>
      <c r="N5" s="58"/>
      <c r="O5" s="59"/>
      <c r="P5" s="27"/>
      <c r="W5" s="25">
        <f t="shared" si="0"/>
        <v>0</v>
      </c>
      <c r="X5" s="25">
        <f t="shared" si="1"/>
        <v>0</v>
      </c>
      <c r="Y5" s="25">
        <f t="shared" si="2"/>
        <v>0</v>
      </c>
      <c r="Z5" s="25">
        <f t="shared" si="3"/>
        <v>0</v>
      </c>
      <c r="AA5" s="25">
        <f t="shared" si="4"/>
        <v>0</v>
      </c>
      <c r="AB5" s="25">
        <f t="shared" si="5"/>
        <v>0</v>
      </c>
      <c r="AC5" s="25">
        <f t="shared" si="6"/>
        <v>0</v>
      </c>
    </row>
    <row r="6" spans="1:29" x14ac:dyDescent="0.3">
      <c r="A6" s="29" t="s">
        <v>10</v>
      </c>
      <c r="B6" s="30">
        <v>0.41666666666666669</v>
      </c>
      <c r="C6" s="30">
        <v>0.70833333333333337</v>
      </c>
      <c r="D6" s="30">
        <v>0.39583333333333331</v>
      </c>
      <c r="E6" s="30">
        <v>0.72916666666666663</v>
      </c>
      <c r="F6" s="30">
        <v>0.375</v>
      </c>
      <c r="G6" s="30">
        <v>0.72916666666666663</v>
      </c>
      <c r="H6" s="30">
        <v>0.41666666666666669</v>
      </c>
      <c r="I6" s="30">
        <v>0.72916666666666663</v>
      </c>
      <c r="J6" s="30">
        <v>0.375</v>
      </c>
      <c r="K6" s="30">
        <v>0.70833333333333337</v>
      </c>
      <c r="L6" s="31"/>
      <c r="M6" s="31"/>
      <c r="N6" s="31"/>
      <c r="O6" s="31"/>
      <c r="P6" s="32">
        <f t="shared" ref="P6:P11" si="7">W6+X6+Y6+Z6+AA6+AB6+AC6</f>
        <v>1.625</v>
      </c>
      <c r="W6" s="25">
        <f t="shared" si="0"/>
        <v>0.29166666666666669</v>
      </c>
      <c r="X6" s="25">
        <f t="shared" si="1"/>
        <v>0.33333333333333331</v>
      </c>
      <c r="Y6" s="25">
        <f t="shared" si="2"/>
        <v>0.35416666666666663</v>
      </c>
      <c r="Z6" s="25">
        <f t="shared" si="3"/>
        <v>0.31249999999999994</v>
      </c>
      <c r="AA6" s="25">
        <f t="shared" si="4"/>
        <v>0.33333333333333337</v>
      </c>
      <c r="AB6" s="25">
        <f t="shared" si="5"/>
        <v>0</v>
      </c>
      <c r="AC6" s="25">
        <f t="shared" si="6"/>
        <v>0</v>
      </c>
    </row>
    <row r="7" spans="1:29" x14ac:dyDescent="0.3">
      <c r="A7" s="33" t="s">
        <v>12</v>
      </c>
      <c r="B7" s="34">
        <v>0.41666666666666669</v>
      </c>
      <c r="C7" s="34">
        <v>0.70833333333333337</v>
      </c>
      <c r="D7" s="34">
        <v>0.41666666666666669</v>
      </c>
      <c r="E7" s="34">
        <v>0.70833333333333337</v>
      </c>
      <c r="F7" s="34">
        <v>0.41666666666666669</v>
      </c>
      <c r="G7" s="34">
        <v>0.70833333333333337</v>
      </c>
      <c r="H7" s="34">
        <v>0.41666666666666669</v>
      </c>
      <c r="I7" s="34">
        <v>0.70833333333333337</v>
      </c>
      <c r="J7" s="34">
        <v>0.41666666666666669</v>
      </c>
      <c r="K7" s="34">
        <v>0.70833333333333337</v>
      </c>
      <c r="L7" s="31"/>
      <c r="M7" s="31"/>
      <c r="N7" s="31"/>
      <c r="O7" s="31"/>
      <c r="P7" s="32">
        <f t="shared" si="7"/>
        <v>1.4583333333333335</v>
      </c>
      <c r="W7" s="25">
        <f t="shared" si="0"/>
        <v>0.29166666666666669</v>
      </c>
      <c r="X7" s="25">
        <f t="shared" si="1"/>
        <v>0.29166666666666669</v>
      </c>
      <c r="Y7" s="25">
        <f t="shared" si="2"/>
        <v>0.29166666666666669</v>
      </c>
      <c r="Z7" s="25">
        <f t="shared" si="3"/>
        <v>0.29166666666666669</v>
      </c>
      <c r="AA7" s="25">
        <f t="shared" si="4"/>
        <v>0.29166666666666669</v>
      </c>
      <c r="AB7" s="25">
        <f t="shared" si="5"/>
        <v>0</v>
      </c>
      <c r="AC7" s="25">
        <f t="shared" si="6"/>
        <v>0</v>
      </c>
    </row>
    <row r="8" spans="1:29" x14ac:dyDescent="0.3">
      <c r="A8" s="28" t="s">
        <v>36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4">
        <v>0.48958333333333331</v>
      </c>
      <c r="M8" s="34">
        <v>0.63541666666666663</v>
      </c>
      <c r="N8" s="34">
        <v>0.48958333333333331</v>
      </c>
      <c r="O8" s="34">
        <v>0.63541666666666663</v>
      </c>
      <c r="P8" s="32">
        <f t="shared" si="7"/>
        <v>0.29166666666666663</v>
      </c>
      <c r="W8" s="25">
        <f t="shared" si="0"/>
        <v>0</v>
      </c>
      <c r="X8" s="25">
        <f t="shared" si="1"/>
        <v>0</v>
      </c>
      <c r="Y8" s="25">
        <f t="shared" si="2"/>
        <v>0</v>
      </c>
      <c r="Z8" s="25">
        <f t="shared" si="3"/>
        <v>0</v>
      </c>
      <c r="AA8" s="25">
        <f t="shared" si="4"/>
        <v>0</v>
      </c>
      <c r="AB8" s="25">
        <f t="shared" si="5"/>
        <v>0.14583333333333331</v>
      </c>
      <c r="AC8" s="25">
        <f t="shared" si="6"/>
        <v>0.14583333333333331</v>
      </c>
    </row>
    <row r="9" spans="1:29" x14ac:dyDescent="0.3">
      <c r="A9" s="28" t="s">
        <v>37</v>
      </c>
      <c r="B9" s="34">
        <v>0.39583333333333331</v>
      </c>
      <c r="C9" s="34">
        <v>0.72916666666666663</v>
      </c>
      <c r="D9" s="34">
        <v>0.39583333333333331</v>
      </c>
      <c r="E9" s="34">
        <v>0.70833333333333337</v>
      </c>
      <c r="F9" s="34">
        <v>0.375</v>
      </c>
      <c r="G9" s="34">
        <v>0.72916666666666663</v>
      </c>
      <c r="H9" s="31"/>
      <c r="I9" s="31"/>
      <c r="J9" s="31"/>
      <c r="K9" s="31"/>
      <c r="L9" s="34">
        <v>0.39583333333333331</v>
      </c>
      <c r="M9" s="34">
        <v>0.70833333333333337</v>
      </c>
      <c r="N9" s="34">
        <v>0.39583333333333331</v>
      </c>
      <c r="O9" s="34">
        <v>0.70833333333333337</v>
      </c>
      <c r="P9" s="32">
        <f t="shared" si="7"/>
        <v>1.625</v>
      </c>
      <c r="W9" s="25">
        <f t="shared" si="0"/>
        <v>0.33333333333333331</v>
      </c>
      <c r="X9" s="25">
        <f t="shared" si="1"/>
        <v>0.31250000000000006</v>
      </c>
      <c r="Y9" s="25">
        <f t="shared" si="2"/>
        <v>0.35416666666666663</v>
      </c>
      <c r="Z9" s="25">
        <f t="shared" si="3"/>
        <v>0</v>
      </c>
      <c r="AA9" s="25">
        <f t="shared" si="4"/>
        <v>0</v>
      </c>
      <c r="AB9" s="25">
        <f t="shared" si="5"/>
        <v>0.31250000000000006</v>
      </c>
      <c r="AC9" s="25">
        <f t="shared" si="6"/>
        <v>0.31250000000000006</v>
      </c>
    </row>
    <row r="10" spans="1:29" x14ac:dyDescent="0.3">
      <c r="A10" s="28" t="s">
        <v>42</v>
      </c>
      <c r="B10" s="34">
        <v>0.39583333333333331</v>
      </c>
      <c r="C10" s="34">
        <v>0.72916666666666663</v>
      </c>
      <c r="D10" s="34">
        <v>0.39583333333333331</v>
      </c>
      <c r="E10" s="34">
        <v>0.70833333333333337</v>
      </c>
      <c r="F10" s="31"/>
      <c r="G10" s="31"/>
      <c r="H10" s="31"/>
      <c r="I10" s="31"/>
      <c r="J10" s="34">
        <v>0.39583333333333331</v>
      </c>
      <c r="K10" s="34">
        <v>0.72916666666666663</v>
      </c>
      <c r="L10" s="34">
        <v>0.39583333333333331</v>
      </c>
      <c r="M10" s="34">
        <v>0.72916666666666663</v>
      </c>
      <c r="N10" s="34">
        <v>0.39583333333333331</v>
      </c>
      <c r="O10" s="34">
        <v>0.70833333333333337</v>
      </c>
      <c r="P10" s="32">
        <f t="shared" si="7"/>
        <v>1.625</v>
      </c>
      <c r="W10" s="25">
        <f t="shared" si="0"/>
        <v>0.33333333333333331</v>
      </c>
      <c r="X10" s="25">
        <f t="shared" si="1"/>
        <v>0.31250000000000006</v>
      </c>
      <c r="Y10" s="25">
        <f t="shared" si="2"/>
        <v>0</v>
      </c>
      <c r="Z10" s="25">
        <f t="shared" si="3"/>
        <v>0</v>
      </c>
      <c r="AA10" s="25">
        <f t="shared" si="4"/>
        <v>0.33333333333333331</v>
      </c>
      <c r="AB10" s="25">
        <f t="shared" si="5"/>
        <v>0.33333333333333331</v>
      </c>
      <c r="AC10" s="25">
        <f t="shared" si="6"/>
        <v>0.31250000000000006</v>
      </c>
    </row>
    <row r="11" spans="1:29" x14ac:dyDescent="0.3">
      <c r="A11" s="28" t="s">
        <v>14</v>
      </c>
      <c r="B11" s="34">
        <v>0.39583333333333331</v>
      </c>
      <c r="C11" s="34">
        <v>0.70833333333333337</v>
      </c>
      <c r="D11" s="31"/>
      <c r="E11" s="31"/>
      <c r="F11" s="31"/>
      <c r="G11" s="31"/>
      <c r="H11" s="34">
        <v>0.39583333333333331</v>
      </c>
      <c r="I11" s="34">
        <v>0.72916666666666663</v>
      </c>
      <c r="J11" s="34">
        <v>0.375</v>
      </c>
      <c r="K11" s="34">
        <v>0.70833333333333337</v>
      </c>
      <c r="L11" s="34">
        <v>0.39583333333333331</v>
      </c>
      <c r="M11" s="34">
        <v>0.72916666666666663</v>
      </c>
      <c r="N11" s="34">
        <v>0.39583333333333331</v>
      </c>
      <c r="O11" s="34">
        <v>0.70833333333333337</v>
      </c>
      <c r="P11" s="32">
        <f t="shared" si="7"/>
        <v>1.625</v>
      </c>
      <c r="W11" s="25">
        <f t="shared" si="0"/>
        <v>0.31250000000000006</v>
      </c>
      <c r="X11" s="25">
        <f t="shared" si="1"/>
        <v>0</v>
      </c>
      <c r="Y11" s="25">
        <f t="shared" si="2"/>
        <v>0</v>
      </c>
      <c r="Z11" s="25">
        <f t="shared" si="3"/>
        <v>0.33333333333333331</v>
      </c>
      <c r="AA11" s="25">
        <f t="shared" si="4"/>
        <v>0.33333333333333337</v>
      </c>
      <c r="AB11" s="25">
        <f t="shared" si="5"/>
        <v>0.33333333333333331</v>
      </c>
      <c r="AC11" s="25">
        <f t="shared" si="6"/>
        <v>0.31250000000000006</v>
      </c>
    </row>
    <row r="12" spans="1:29" x14ac:dyDescent="0.3">
      <c r="A12" s="35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W12" s="25">
        <f t="shared" si="0"/>
        <v>0</v>
      </c>
      <c r="X12" s="25">
        <f t="shared" si="1"/>
        <v>0</v>
      </c>
      <c r="Y12" s="25">
        <f t="shared" si="2"/>
        <v>0</v>
      </c>
      <c r="Z12" s="25">
        <f t="shared" si="3"/>
        <v>0</v>
      </c>
      <c r="AA12" s="25">
        <f t="shared" si="4"/>
        <v>0</v>
      </c>
      <c r="AB12" s="25">
        <f t="shared" si="5"/>
        <v>0</v>
      </c>
      <c r="AC12" s="25">
        <f t="shared" si="6"/>
        <v>0</v>
      </c>
    </row>
    <row r="13" spans="1:29" x14ac:dyDescent="0.3">
      <c r="A13" s="29" t="s">
        <v>16</v>
      </c>
      <c r="B13" s="31"/>
      <c r="C13" s="31"/>
      <c r="D13" s="37">
        <v>0.70833333333333337</v>
      </c>
      <c r="E13" s="37">
        <v>1.0625</v>
      </c>
      <c r="F13" s="37">
        <v>0.72916666666666663</v>
      </c>
      <c r="G13" s="37">
        <v>1.0625</v>
      </c>
      <c r="H13" s="37">
        <v>0.70833333333333304</v>
      </c>
      <c r="I13" s="37">
        <v>1.0625</v>
      </c>
      <c r="J13" s="37">
        <v>0.70833333333333304</v>
      </c>
      <c r="K13" s="37">
        <v>1.0625</v>
      </c>
      <c r="L13" s="37">
        <v>0.70833333333333304</v>
      </c>
      <c r="M13" s="37">
        <v>1.0625</v>
      </c>
      <c r="N13" s="31"/>
      <c r="O13" s="31"/>
      <c r="P13" s="38">
        <f t="shared" ref="P13:P18" si="8">W13+X13+Y13+Z13+AA13+AB13+AC13</f>
        <v>1.7500000000000009</v>
      </c>
      <c r="W13" s="25">
        <f t="shared" si="0"/>
        <v>0</v>
      </c>
      <c r="X13" s="25">
        <f t="shared" si="1"/>
        <v>0.35416666666666663</v>
      </c>
      <c r="Y13" s="25">
        <f t="shared" si="2"/>
        <v>0.33333333333333337</v>
      </c>
      <c r="Z13" s="25">
        <f t="shared" si="3"/>
        <v>0.35416666666666696</v>
      </c>
      <c r="AA13" s="25">
        <f t="shared" si="4"/>
        <v>0.35416666666666696</v>
      </c>
      <c r="AB13" s="25">
        <f t="shared" si="5"/>
        <v>0.35416666666666696</v>
      </c>
      <c r="AC13" s="25">
        <f t="shared" si="6"/>
        <v>0</v>
      </c>
    </row>
    <row r="14" spans="1:29" x14ac:dyDescent="0.3">
      <c r="A14" s="29" t="s">
        <v>17</v>
      </c>
      <c r="B14" s="37">
        <v>0.70833333333333337</v>
      </c>
      <c r="C14" s="37">
        <v>1.0208333333333299</v>
      </c>
      <c r="D14" s="31"/>
      <c r="E14" s="31"/>
      <c r="F14" s="31"/>
      <c r="G14" s="31"/>
      <c r="H14" s="37">
        <v>0.70833333333333337</v>
      </c>
      <c r="I14" s="37">
        <v>1.0625</v>
      </c>
      <c r="J14" s="37">
        <v>0.70833333333333304</v>
      </c>
      <c r="K14" s="37">
        <v>1.0625</v>
      </c>
      <c r="L14" s="37">
        <v>0.6875</v>
      </c>
      <c r="M14" s="37">
        <v>1.0625</v>
      </c>
      <c r="N14" s="37">
        <v>0.66666666666666663</v>
      </c>
      <c r="O14" s="37">
        <v>1.0208333333333333</v>
      </c>
      <c r="P14" s="38">
        <f t="shared" si="8"/>
        <v>1.7499999999999969</v>
      </c>
      <c r="W14" s="25">
        <f t="shared" si="0"/>
        <v>0.31249999999999656</v>
      </c>
      <c r="X14" s="25">
        <f t="shared" si="1"/>
        <v>0</v>
      </c>
      <c r="Y14" s="25">
        <f t="shared" si="2"/>
        <v>0</v>
      </c>
      <c r="Z14" s="25">
        <f t="shared" si="3"/>
        <v>0.35416666666666663</v>
      </c>
      <c r="AA14" s="25">
        <f t="shared" si="4"/>
        <v>0.35416666666666696</v>
      </c>
      <c r="AB14" s="25">
        <f t="shared" si="5"/>
        <v>0.375</v>
      </c>
      <c r="AC14" s="25">
        <f t="shared" si="6"/>
        <v>0.35416666666666663</v>
      </c>
    </row>
    <row r="15" spans="1:29" x14ac:dyDescent="0.3">
      <c r="A15" s="29" t="s">
        <v>21</v>
      </c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1"/>
      <c r="O15" s="31"/>
      <c r="P15" s="38">
        <f t="shared" si="8"/>
        <v>0</v>
      </c>
      <c r="W15" s="25">
        <f t="shared" si="0"/>
        <v>0</v>
      </c>
      <c r="X15" s="25">
        <f t="shared" si="1"/>
        <v>0</v>
      </c>
      <c r="Y15" s="25">
        <f t="shared" si="2"/>
        <v>0</v>
      </c>
      <c r="Z15" s="25">
        <f t="shared" si="3"/>
        <v>0</v>
      </c>
      <c r="AA15" s="25">
        <f t="shared" si="4"/>
        <v>0</v>
      </c>
      <c r="AB15" s="25">
        <f t="shared" si="5"/>
        <v>0</v>
      </c>
      <c r="AC15" s="25">
        <f t="shared" si="6"/>
        <v>0</v>
      </c>
    </row>
    <row r="16" spans="1:29" x14ac:dyDescent="0.3">
      <c r="A16" s="40" t="s">
        <v>18</v>
      </c>
      <c r="B16" s="37">
        <v>0.72916666666666663</v>
      </c>
      <c r="C16" s="37">
        <v>1.0208333333333299</v>
      </c>
      <c r="D16" s="37">
        <v>0.70833333333333337</v>
      </c>
      <c r="E16" s="37">
        <v>1.0625</v>
      </c>
      <c r="F16" s="37">
        <v>0.75</v>
      </c>
      <c r="G16" s="37">
        <v>1.0625</v>
      </c>
      <c r="H16" s="39"/>
      <c r="I16" s="39"/>
      <c r="J16" s="39"/>
      <c r="K16" s="39"/>
      <c r="L16" s="37">
        <v>0.70833333333333337</v>
      </c>
      <c r="M16" s="37">
        <v>1.0625</v>
      </c>
      <c r="N16" s="37">
        <v>0.70833333333333337</v>
      </c>
      <c r="O16" s="37">
        <v>1.0208333333333333</v>
      </c>
      <c r="P16" s="38">
        <f t="shared" si="8"/>
        <v>1.6249999999999964</v>
      </c>
      <c r="W16" s="25">
        <f t="shared" si="0"/>
        <v>0.2916666666666633</v>
      </c>
      <c r="X16" s="25">
        <f t="shared" si="1"/>
        <v>0.35416666666666663</v>
      </c>
      <c r="Y16" s="25">
        <f t="shared" si="2"/>
        <v>0.3125</v>
      </c>
      <c r="Z16" s="25">
        <f t="shared" si="3"/>
        <v>0</v>
      </c>
      <c r="AA16" s="25">
        <f t="shared" si="4"/>
        <v>0</v>
      </c>
      <c r="AB16" s="25">
        <f t="shared" si="5"/>
        <v>0.35416666666666663</v>
      </c>
      <c r="AC16" s="25">
        <f t="shared" si="6"/>
        <v>0.31249999999999989</v>
      </c>
    </row>
    <row r="17" spans="1:30" x14ac:dyDescent="0.3">
      <c r="A17" s="28" t="s">
        <v>26</v>
      </c>
      <c r="B17" s="37">
        <v>0.72916666666666663</v>
      </c>
      <c r="C17" s="37">
        <v>1.0208333333333333</v>
      </c>
      <c r="D17" s="31"/>
      <c r="E17" s="31"/>
      <c r="F17" s="31"/>
      <c r="G17" s="31"/>
      <c r="H17" s="37">
        <v>0.75</v>
      </c>
      <c r="I17" s="37">
        <v>1.0625</v>
      </c>
      <c r="J17" s="37">
        <v>0.75</v>
      </c>
      <c r="K17" s="37">
        <v>1.0625</v>
      </c>
      <c r="L17" s="37">
        <v>0.70833333333333337</v>
      </c>
      <c r="M17" s="37">
        <v>1.0625</v>
      </c>
      <c r="N17" s="37">
        <v>0.66666666666666663</v>
      </c>
      <c r="O17" s="37">
        <v>1.0208333333333333</v>
      </c>
      <c r="P17" s="38">
        <f t="shared" si="8"/>
        <v>1.625</v>
      </c>
      <c r="W17" s="25">
        <f t="shared" si="0"/>
        <v>0.29166666666666663</v>
      </c>
      <c r="X17" s="25">
        <f t="shared" si="1"/>
        <v>0</v>
      </c>
      <c r="Y17" s="25">
        <f t="shared" si="2"/>
        <v>0</v>
      </c>
      <c r="Z17" s="25">
        <f t="shared" si="3"/>
        <v>0.3125</v>
      </c>
      <c r="AA17" s="25">
        <f t="shared" si="4"/>
        <v>0.3125</v>
      </c>
      <c r="AB17" s="25">
        <f t="shared" si="5"/>
        <v>0.35416666666666663</v>
      </c>
      <c r="AC17" s="25">
        <f t="shared" si="6"/>
        <v>0.35416666666666663</v>
      </c>
    </row>
    <row r="18" spans="1:30" ht="15" thickBot="1" x14ac:dyDescent="0.35">
      <c r="A18" s="28" t="s">
        <v>41</v>
      </c>
      <c r="B18" s="31"/>
      <c r="C18" s="31"/>
      <c r="D18" s="37">
        <v>0.75</v>
      </c>
      <c r="E18" s="37">
        <v>1.0625</v>
      </c>
      <c r="F18" s="37">
        <v>0.72916666666666663</v>
      </c>
      <c r="G18" s="37">
        <v>1.0625</v>
      </c>
      <c r="H18" s="37">
        <v>0.75</v>
      </c>
      <c r="I18" s="37">
        <v>1.0625</v>
      </c>
      <c r="J18" s="37">
        <v>0.75</v>
      </c>
      <c r="K18" s="37">
        <v>1.0625</v>
      </c>
      <c r="L18" s="37">
        <v>0.70833333333333337</v>
      </c>
      <c r="M18" s="37">
        <v>1.0625</v>
      </c>
      <c r="N18" s="31"/>
      <c r="O18" s="31"/>
      <c r="P18" s="38">
        <f t="shared" si="8"/>
        <v>1.625</v>
      </c>
      <c r="W18" s="25">
        <f t="shared" si="0"/>
        <v>0</v>
      </c>
      <c r="X18" s="25">
        <f t="shared" si="1"/>
        <v>0.3125</v>
      </c>
      <c r="Y18" s="25">
        <f t="shared" si="2"/>
        <v>0.33333333333333337</v>
      </c>
      <c r="Z18" s="25">
        <f t="shared" si="3"/>
        <v>0.3125</v>
      </c>
      <c r="AA18" s="25">
        <f t="shared" si="4"/>
        <v>0.3125</v>
      </c>
      <c r="AB18" s="25">
        <f t="shared" si="5"/>
        <v>0.35416666666666663</v>
      </c>
      <c r="AC18" s="25">
        <f t="shared" si="6"/>
        <v>0</v>
      </c>
    </row>
    <row r="19" spans="1:30" ht="15" thickBot="1" x14ac:dyDescent="0.35">
      <c r="A19" s="1" t="e" cm="1">
        <f t="array" ref="A19">+A19:PA19:P+A19:P363628A1:P2A1:P47</f>
        <v>#NAME?</v>
      </c>
      <c r="B19" s="62" t="s">
        <v>0</v>
      </c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3"/>
      <c r="W19" s="25" t="e">
        <f t="shared" si="0"/>
        <v>#VALUE!</v>
      </c>
      <c r="X19" s="25">
        <f t="shared" si="1"/>
        <v>0</v>
      </c>
      <c r="Y19" s="25">
        <f t="shared" si="2"/>
        <v>0</v>
      </c>
      <c r="Z19" s="25">
        <f t="shared" si="3"/>
        <v>0</v>
      </c>
      <c r="AA19" s="25">
        <f t="shared" si="4"/>
        <v>0</v>
      </c>
      <c r="AB19" s="25">
        <f t="shared" si="5"/>
        <v>0</v>
      </c>
      <c r="AC19" s="25">
        <f t="shared" si="6"/>
        <v>0</v>
      </c>
    </row>
    <row r="20" spans="1:30" ht="15" customHeight="1" thickBot="1" x14ac:dyDescent="0.35">
      <c r="A20" s="22"/>
      <c r="B20" s="62" t="str">
        <f ca="1">B2</f>
        <v>SEMAINE 14</v>
      </c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3"/>
    </row>
    <row r="21" spans="1:30" x14ac:dyDescent="0.3">
      <c r="A21" s="23"/>
      <c r="B21" s="64" t="s">
        <v>1</v>
      </c>
      <c r="C21" s="65"/>
      <c r="D21" s="64" t="s">
        <v>2</v>
      </c>
      <c r="E21" s="65"/>
      <c r="F21" s="64" t="s">
        <v>3</v>
      </c>
      <c r="G21" s="65"/>
      <c r="H21" s="64" t="s">
        <v>4</v>
      </c>
      <c r="I21" s="65"/>
      <c r="J21" s="64" t="s">
        <v>5</v>
      </c>
      <c r="K21" s="65"/>
      <c r="L21" s="64" t="s">
        <v>6</v>
      </c>
      <c r="M21" s="65"/>
      <c r="N21" s="64" t="s">
        <v>7</v>
      </c>
      <c r="O21" s="65"/>
      <c r="P21" s="24" t="s">
        <v>8</v>
      </c>
    </row>
    <row r="22" spans="1:30" x14ac:dyDescent="0.3">
      <c r="A22" s="26"/>
      <c r="B22" s="58">
        <f>B4</f>
        <v>46111</v>
      </c>
      <c r="C22" s="59"/>
      <c r="D22" s="58">
        <f>D4</f>
        <v>46112</v>
      </c>
      <c r="E22" s="59"/>
      <c r="F22" s="58">
        <f>F4</f>
        <v>46113</v>
      </c>
      <c r="G22" s="59"/>
      <c r="H22" s="58">
        <f>H4</f>
        <v>46114</v>
      </c>
      <c r="I22" s="59"/>
      <c r="J22" s="58">
        <f>J4</f>
        <v>46115</v>
      </c>
      <c r="K22" s="59"/>
      <c r="L22" s="58">
        <f>L4</f>
        <v>46116</v>
      </c>
      <c r="M22" s="59"/>
      <c r="N22" s="58">
        <f>N4</f>
        <v>46117</v>
      </c>
      <c r="O22" s="59"/>
      <c r="P22" s="27"/>
    </row>
    <row r="23" spans="1:30" x14ac:dyDescent="0.3">
      <c r="A23" s="28" t="s">
        <v>9</v>
      </c>
      <c r="B23" s="58"/>
      <c r="C23" s="59"/>
      <c r="D23" s="58"/>
      <c r="E23" s="59"/>
      <c r="F23" s="58"/>
      <c r="G23" s="59"/>
      <c r="H23" s="58"/>
      <c r="I23" s="59"/>
      <c r="J23" s="58"/>
      <c r="K23" s="59"/>
      <c r="L23" s="58"/>
      <c r="M23" s="59"/>
      <c r="N23" s="58"/>
      <c r="O23" s="59"/>
      <c r="P23" s="27"/>
    </row>
    <row r="24" spans="1:30" x14ac:dyDescent="0.3">
      <c r="A24" s="29" t="s">
        <v>10</v>
      </c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1"/>
      <c r="M24" s="31"/>
      <c r="N24" s="31"/>
      <c r="O24" s="31"/>
      <c r="P24" s="32"/>
    </row>
    <row r="25" spans="1:30" x14ac:dyDescent="0.3">
      <c r="A25" s="33" t="s">
        <v>12</v>
      </c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1"/>
      <c r="M25" s="31"/>
      <c r="N25" s="31"/>
      <c r="O25" s="31"/>
      <c r="P25" s="32"/>
    </row>
    <row r="26" spans="1:30" x14ac:dyDescent="0.3">
      <c r="A26" s="28" t="s">
        <v>36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4"/>
      <c r="M26" s="34"/>
      <c r="N26" s="34"/>
      <c r="O26" s="34"/>
      <c r="P26" s="32"/>
    </row>
    <row r="27" spans="1:30" x14ac:dyDescent="0.3">
      <c r="A27" s="28" t="s">
        <v>37</v>
      </c>
      <c r="B27" s="34"/>
      <c r="C27" s="34"/>
      <c r="D27" s="34"/>
      <c r="E27" s="34"/>
      <c r="F27" s="34"/>
      <c r="G27" s="34"/>
      <c r="H27" s="31"/>
      <c r="I27" s="31"/>
      <c r="J27" s="31"/>
      <c r="K27" s="31"/>
      <c r="L27" s="34"/>
      <c r="M27" s="34"/>
      <c r="N27" s="34"/>
      <c r="O27" s="34"/>
      <c r="P27" s="32"/>
    </row>
    <row r="28" spans="1:30" x14ac:dyDescent="0.3">
      <c r="A28" s="28" t="s">
        <v>42</v>
      </c>
      <c r="B28" s="34"/>
      <c r="C28" s="34"/>
      <c r="D28" s="34"/>
      <c r="E28" s="34"/>
      <c r="F28" s="31"/>
      <c r="G28" s="31"/>
      <c r="H28" s="31"/>
      <c r="I28" s="31"/>
      <c r="J28" s="34"/>
      <c r="K28" s="34"/>
      <c r="L28" s="34"/>
      <c r="M28" s="34"/>
      <c r="N28" s="34"/>
      <c r="O28" s="34"/>
      <c r="P28" s="32"/>
    </row>
    <row r="29" spans="1:30" x14ac:dyDescent="0.3">
      <c r="A29" s="28" t="s">
        <v>14</v>
      </c>
      <c r="B29" s="34"/>
      <c r="C29" s="34"/>
      <c r="D29" s="31"/>
      <c r="E29" s="31"/>
      <c r="F29" s="31"/>
      <c r="G29" s="31"/>
      <c r="H29" s="34"/>
      <c r="I29" s="34"/>
      <c r="J29" s="34"/>
      <c r="K29" s="34"/>
      <c r="L29" s="34"/>
      <c r="M29" s="34"/>
      <c r="N29" s="34"/>
      <c r="O29" s="34"/>
      <c r="P29" s="32"/>
    </row>
    <row r="30" spans="1:30" x14ac:dyDescent="0.3">
      <c r="A30" s="35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AD30">
        <f>782.29+3021.53+695.24+839.95+797.33+3814.67+711.55+743.2+1118.36+63.46</f>
        <v>12587.58</v>
      </c>
    </row>
    <row r="31" spans="1:30" x14ac:dyDescent="0.3">
      <c r="A31" s="29" t="s">
        <v>16</v>
      </c>
      <c r="B31" s="31"/>
      <c r="C31" s="31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1"/>
      <c r="O31" s="31"/>
      <c r="P31" s="38"/>
    </row>
    <row r="32" spans="1:30" x14ac:dyDescent="0.3">
      <c r="A32" s="29" t="s">
        <v>17</v>
      </c>
      <c r="B32" s="37"/>
      <c r="C32" s="37"/>
      <c r="D32" s="31"/>
      <c r="E32" s="31"/>
      <c r="F32" s="31"/>
      <c r="G32" s="31"/>
      <c r="H32" s="37"/>
      <c r="I32" s="37"/>
      <c r="J32" s="37"/>
      <c r="K32" s="37"/>
      <c r="L32" s="37"/>
      <c r="M32" s="37"/>
      <c r="N32" s="37"/>
      <c r="O32" s="37"/>
      <c r="P32" s="38"/>
    </row>
    <row r="33" spans="1:16" x14ac:dyDescent="0.3">
      <c r="A33" s="29" t="s">
        <v>21</v>
      </c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1"/>
      <c r="P33" s="38"/>
    </row>
    <row r="34" spans="1:16" x14ac:dyDescent="0.3">
      <c r="A34" s="40" t="s">
        <v>18</v>
      </c>
      <c r="B34" s="37"/>
      <c r="C34" s="37"/>
      <c r="D34" s="37"/>
      <c r="E34" s="37"/>
      <c r="F34" s="37"/>
      <c r="G34" s="37"/>
      <c r="H34" s="39"/>
      <c r="I34" s="39"/>
      <c r="J34" s="39"/>
      <c r="K34" s="39"/>
      <c r="L34" s="37"/>
      <c r="M34" s="37"/>
      <c r="N34" s="37"/>
      <c r="O34" s="37"/>
      <c r="P34" s="38"/>
    </row>
    <row r="35" spans="1:16" x14ac:dyDescent="0.3">
      <c r="A35" s="28" t="s">
        <v>26</v>
      </c>
      <c r="B35" s="37"/>
      <c r="C35" s="37"/>
      <c r="D35" s="31"/>
      <c r="E35" s="31"/>
      <c r="F35" s="31"/>
      <c r="G35" s="31"/>
      <c r="H35" s="37"/>
      <c r="I35" s="37"/>
      <c r="J35" s="37"/>
      <c r="K35" s="37"/>
      <c r="L35" s="37"/>
      <c r="M35" s="37"/>
      <c r="N35" s="37"/>
      <c r="O35" s="37"/>
      <c r="P35" s="38"/>
    </row>
    <row r="36" spans="1:16" x14ac:dyDescent="0.3">
      <c r="A36" s="40" t="s">
        <v>41</v>
      </c>
      <c r="B36" s="31"/>
      <c r="C36" s="31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1"/>
      <c r="O36" s="31"/>
      <c r="P36" s="38"/>
    </row>
  </sheetData>
  <mergeCells count="46">
    <mergeCell ref="N22:O22"/>
    <mergeCell ref="B23:C23"/>
    <mergeCell ref="D23:E23"/>
    <mergeCell ref="F23:G23"/>
    <mergeCell ref="H23:I23"/>
    <mergeCell ref="J23:K23"/>
    <mergeCell ref="L23:M23"/>
    <mergeCell ref="N23:O23"/>
    <mergeCell ref="B22:C22"/>
    <mergeCell ref="D22:E22"/>
    <mergeCell ref="F22:G22"/>
    <mergeCell ref="H22:I22"/>
    <mergeCell ref="J22:K22"/>
    <mergeCell ref="L22:M22"/>
    <mergeCell ref="B19:P19"/>
    <mergeCell ref="B20:P20"/>
    <mergeCell ref="B21:C21"/>
    <mergeCell ref="D21:E21"/>
    <mergeCell ref="F21:G21"/>
    <mergeCell ref="H21:I21"/>
    <mergeCell ref="J21:K21"/>
    <mergeCell ref="L21:M21"/>
    <mergeCell ref="N21:O21"/>
    <mergeCell ref="N4:O4"/>
    <mergeCell ref="B5:C5"/>
    <mergeCell ref="D5:E5"/>
    <mergeCell ref="F5:G5"/>
    <mergeCell ref="H5:I5"/>
    <mergeCell ref="J5:K5"/>
    <mergeCell ref="L5:M5"/>
    <mergeCell ref="N5:O5"/>
    <mergeCell ref="B4:C4"/>
    <mergeCell ref="D4:E4"/>
    <mergeCell ref="F4:G4"/>
    <mergeCell ref="H4:I4"/>
    <mergeCell ref="J4:K4"/>
    <mergeCell ref="L4:M4"/>
    <mergeCell ref="B1:P1"/>
    <mergeCell ref="B2:P2"/>
    <mergeCell ref="B3:C3"/>
    <mergeCell ref="D3:E3"/>
    <mergeCell ref="F3:G3"/>
    <mergeCell ref="H3:I3"/>
    <mergeCell ref="J3:K3"/>
    <mergeCell ref="L3:M3"/>
    <mergeCell ref="N3:O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37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72A84-B139-4682-BF7E-C9EDBF454F3C}">
  <sheetPr>
    <pageSetUpPr fitToPage="1"/>
  </sheetPr>
  <dimension ref="A1:AD36"/>
  <sheetViews>
    <sheetView topLeftCell="I20" workbookViewId="0">
      <selection sqref="A1:AC36"/>
    </sheetView>
  </sheetViews>
  <sheetFormatPr baseColWidth="10" defaultRowHeight="14.4" x14ac:dyDescent="0.3"/>
  <sheetData>
    <row r="1" spans="1:29" ht="15" thickBot="1" x14ac:dyDescent="0.35">
      <c r="A1" s="1" cm="1">
        <f t="array" aca="1" ref="A1" ca="1">A1:P35</f>
        <v>0</v>
      </c>
      <c r="B1" s="62" t="s">
        <v>0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3"/>
    </row>
    <row r="2" spans="1:29" ht="15" thickBot="1" x14ac:dyDescent="0.35">
      <c r="A2" s="22"/>
      <c r="B2" s="62" t="str">
        <f ca="1">"SEMAINE "&amp;_xlfn.SHEET()</f>
        <v>SEMAINE 15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3"/>
    </row>
    <row r="3" spans="1:29" x14ac:dyDescent="0.3">
      <c r="A3" s="23"/>
      <c r="B3" s="64" t="s">
        <v>1</v>
      </c>
      <c r="C3" s="65"/>
      <c r="D3" s="64" t="s">
        <v>2</v>
      </c>
      <c r="E3" s="65"/>
      <c r="F3" s="64" t="s">
        <v>3</v>
      </c>
      <c r="G3" s="65"/>
      <c r="H3" s="64" t="s">
        <v>4</v>
      </c>
      <c r="I3" s="65"/>
      <c r="J3" s="64" t="s">
        <v>5</v>
      </c>
      <c r="K3" s="65"/>
      <c r="L3" s="64" t="s">
        <v>6</v>
      </c>
      <c r="M3" s="65"/>
      <c r="N3" s="64" t="s">
        <v>7</v>
      </c>
      <c r="O3" s="65"/>
      <c r="P3" s="24" t="s">
        <v>8</v>
      </c>
      <c r="W3" s="25" t="e">
        <f t="shared" ref="W3:W19" si="0">C3-B3</f>
        <v>#VALUE!</v>
      </c>
      <c r="X3" s="25" t="e">
        <f t="shared" ref="X3:X19" si="1">E3-D3</f>
        <v>#VALUE!</v>
      </c>
      <c r="Y3" s="25" t="e">
        <f t="shared" ref="Y3:Y19" si="2">G3-F3</f>
        <v>#VALUE!</v>
      </c>
      <c r="Z3" s="25" t="e">
        <f t="shared" ref="Z3:Z19" si="3">I3-H3</f>
        <v>#VALUE!</v>
      </c>
      <c r="AA3" s="25" t="e">
        <f t="shared" ref="AA3:AA19" si="4">K3-J3</f>
        <v>#VALUE!</v>
      </c>
      <c r="AB3" s="25" t="e">
        <f t="shared" ref="AB3:AB19" si="5">M3-L3</f>
        <v>#VALUE!</v>
      </c>
      <c r="AC3" s="25" t="e">
        <f t="shared" ref="AC3:AC19" si="6">O3-N3</f>
        <v>#VALUE!</v>
      </c>
    </row>
    <row r="4" spans="1:29" x14ac:dyDescent="0.3">
      <c r="A4" s="26"/>
      <c r="B4" s="66">
        <v>46118</v>
      </c>
      <c r="C4" s="66"/>
      <c r="D4" s="66">
        <v>46119</v>
      </c>
      <c r="E4" s="66"/>
      <c r="F4" s="66">
        <v>46120</v>
      </c>
      <c r="G4" s="66"/>
      <c r="H4" s="66">
        <v>46121</v>
      </c>
      <c r="I4" s="66"/>
      <c r="J4" s="66">
        <v>46122</v>
      </c>
      <c r="K4" s="66"/>
      <c r="L4" s="66">
        <v>46123</v>
      </c>
      <c r="M4" s="66"/>
      <c r="N4" s="66">
        <v>46124</v>
      </c>
      <c r="O4" s="66"/>
      <c r="P4" s="27"/>
      <c r="W4" s="25">
        <f t="shared" si="0"/>
        <v>-46118</v>
      </c>
      <c r="X4" s="25">
        <f t="shared" si="1"/>
        <v>-46119</v>
      </c>
      <c r="Y4" s="25">
        <f t="shared" si="2"/>
        <v>-46120</v>
      </c>
      <c r="Z4" s="25">
        <f t="shared" si="3"/>
        <v>-46121</v>
      </c>
      <c r="AA4" s="25">
        <f t="shared" si="4"/>
        <v>-46122</v>
      </c>
      <c r="AB4" s="25">
        <f t="shared" si="5"/>
        <v>-46123</v>
      </c>
      <c r="AC4" s="25">
        <f t="shared" si="6"/>
        <v>-46124</v>
      </c>
    </row>
    <row r="5" spans="1:29" x14ac:dyDescent="0.3">
      <c r="A5" s="28" t="s">
        <v>9</v>
      </c>
      <c r="B5" s="58"/>
      <c r="C5" s="59"/>
      <c r="D5" s="58"/>
      <c r="E5" s="59"/>
      <c r="F5" s="58"/>
      <c r="G5" s="59"/>
      <c r="H5" s="58"/>
      <c r="I5" s="59"/>
      <c r="J5" s="58"/>
      <c r="K5" s="59"/>
      <c r="L5" s="58"/>
      <c r="M5" s="59"/>
      <c r="N5" s="58"/>
      <c r="O5" s="59"/>
      <c r="P5" s="27"/>
      <c r="W5" s="25">
        <f t="shared" si="0"/>
        <v>0</v>
      </c>
      <c r="X5" s="25">
        <f t="shared" si="1"/>
        <v>0</v>
      </c>
      <c r="Y5" s="25">
        <f t="shared" si="2"/>
        <v>0</v>
      </c>
      <c r="Z5" s="25">
        <f t="shared" si="3"/>
        <v>0</v>
      </c>
      <c r="AA5" s="25">
        <f t="shared" si="4"/>
        <v>0</v>
      </c>
      <c r="AB5" s="25">
        <f t="shared" si="5"/>
        <v>0</v>
      </c>
      <c r="AC5" s="25">
        <f t="shared" si="6"/>
        <v>0</v>
      </c>
    </row>
    <row r="6" spans="1:29" x14ac:dyDescent="0.3">
      <c r="A6" s="29" t="s">
        <v>10</v>
      </c>
      <c r="B6" s="30">
        <v>0.41666666666666669</v>
      </c>
      <c r="C6" s="30">
        <v>0.70833333333333337</v>
      </c>
      <c r="D6" s="30">
        <v>0.39583333333333331</v>
      </c>
      <c r="E6" s="30">
        <v>0.72916666666666663</v>
      </c>
      <c r="F6" s="30">
        <v>0.375</v>
      </c>
      <c r="G6" s="30">
        <v>0.72916666666666663</v>
      </c>
      <c r="H6" s="30">
        <v>0.41666666666666669</v>
      </c>
      <c r="I6" s="30">
        <v>0.72916666666666663</v>
      </c>
      <c r="J6" s="30">
        <v>0.375</v>
      </c>
      <c r="K6" s="30">
        <v>0.70833333333333337</v>
      </c>
      <c r="L6" s="31"/>
      <c r="M6" s="31"/>
      <c r="N6" s="31"/>
      <c r="O6" s="31"/>
      <c r="P6" s="32">
        <f t="shared" ref="P6:P11" si="7">W6+X6+Y6+Z6+AA6+AB6+AC6</f>
        <v>1.625</v>
      </c>
      <c r="W6" s="25">
        <f t="shared" si="0"/>
        <v>0.29166666666666669</v>
      </c>
      <c r="X6" s="25">
        <f t="shared" si="1"/>
        <v>0.33333333333333331</v>
      </c>
      <c r="Y6" s="25">
        <f t="shared" si="2"/>
        <v>0.35416666666666663</v>
      </c>
      <c r="Z6" s="25">
        <f t="shared" si="3"/>
        <v>0.31249999999999994</v>
      </c>
      <c r="AA6" s="25">
        <f t="shared" si="4"/>
        <v>0.33333333333333337</v>
      </c>
      <c r="AB6" s="25">
        <f t="shared" si="5"/>
        <v>0</v>
      </c>
      <c r="AC6" s="25">
        <f t="shared" si="6"/>
        <v>0</v>
      </c>
    </row>
    <row r="7" spans="1:29" x14ac:dyDescent="0.3">
      <c r="A7" s="33" t="s">
        <v>12</v>
      </c>
      <c r="B7" s="34">
        <v>0.41666666666666669</v>
      </c>
      <c r="C7" s="34">
        <v>0.70833333333333337</v>
      </c>
      <c r="D7" s="34">
        <v>0.41666666666666669</v>
      </c>
      <c r="E7" s="34">
        <v>0.70833333333333337</v>
      </c>
      <c r="F7" s="34">
        <v>0.41666666666666669</v>
      </c>
      <c r="G7" s="34">
        <v>0.70833333333333337</v>
      </c>
      <c r="H7" s="34">
        <v>0.41666666666666669</v>
      </c>
      <c r="I7" s="34">
        <v>0.70833333333333337</v>
      </c>
      <c r="J7" s="34">
        <v>0.41666666666666669</v>
      </c>
      <c r="K7" s="34">
        <v>0.70833333333333337</v>
      </c>
      <c r="L7" s="31"/>
      <c r="M7" s="31"/>
      <c r="N7" s="31"/>
      <c r="O7" s="31"/>
      <c r="P7" s="32">
        <f t="shared" si="7"/>
        <v>1.4583333333333335</v>
      </c>
      <c r="W7" s="25">
        <f t="shared" si="0"/>
        <v>0.29166666666666669</v>
      </c>
      <c r="X7" s="25">
        <f t="shared" si="1"/>
        <v>0.29166666666666669</v>
      </c>
      <c r="Y7" s="25">
        <f t="shared" si="2"/>
        <v>0.29166666666666669</v>
      </c>
      <c r="Z7" s="25">
        <f t="shared" si="3"/>
        <v>0.29166666666666669</v>
      </c>
      <c r="AA7" s="25">
        <f t="shared" si="4"/>
        <v>0.29166666666666669</v>
      </c>
      <c r="AB7" s="25">
        <f t="shared" si="5"/>
        <v>0</v>
      </c>
      <c r="AC7" s="25">
        <f t="shared" si="6"/>
        <v>0</v>
      </c>
    </row>
    <row r="8" spans="1:29" x14ac:dyDescent="0.3">
      <c r="A8" s="28" t="s">
        <v>36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4">
        <v>0.48958333333333331</v>
      </c>
      <c r="M8" s="34">
        <v>0.63541666666666663</v>
      </c>
      <c r="N8" s="34">
        <v>0.48958333333333331</v>
      </c>
      <c r="O8" s="34">
        <v>0.63541666666666663</v>
      </c>
      <c r="P8" s="32">
        <f t="shared" si="7"/>
        <v>0.29166666666666663</v>
      </c>
      <c r="W8" s="25">
        <f t="shared" si="0"/>
        <v>0</v>
      </c>
      <c r="X8" s="25">
        <f t="shared" si="1"/>
        <v>0</v>
      </c>
      <c r="Y8" s="25">
        <f t="shared" si="2"/>
        <v>0</v>
      </c>
      <c r="Z8" s="25">
        <f t="shared" si="3"/>
        <v>0</v>
      </c>
      <c r="AA8" s="25">
        <f t="shared" si="4"/>
        <v>0</v>
      </c>
      <c r="AB8" s="25">
        <f t="shared" si="5"/>
        <v>0.14583333333333331</v>
      </c>
      <c r="AC8" s="25">
        <f t="shared" si="6"/>
        <v>0.14583333333333331</v>
      </c>
    </row>
    <row r="9" spans="1:29" x14ac:dyDescent="0.3">
      <c r="A9" s="28" t="s">
        <v>37</v>
      </c>
      <c r="B9" s="34">
        <v>0.39583333333333331</v>
      </c>
      <c r="C9" s="34">
        <v>0.72916666666666663</v>
      </c>
      <c r="D9" s="34">
        <v>0.39583333333333331</v>
      </c>
      <c r="E9" s="34">
        <v>0.70833333333333337</v>
      </c>
      <c r="F9" s="34">
        <v>0.375</v>
      </c>
      <c r="G9" s="34">
        <v>0.72916666666666663</v>
      </c>
      <c r="H9" s="31"/>
      <c r="I9" s="31"/>
      <c r="J9" s="31"/>
      <c r="K9" s="31"/>
      <c r="L9" s="34">
        <v>0.39583333333333331</v>
      </c>
      <c r="M9" s="34">
        <v>0.70833333333333337</v>
      </c>
      <c r="N9" s="34">
        <v>0.39583333333333331</v>
      </c>
      <c r="O9" s="34">
        <v>0.70833333333333337</v>
      </c>
      <c r="P9" s="32">
        <f t="shared" si="7"/>
        <v>1.625</v>
      </c>
      <c r="W9" s="25">
        <f t="shared" si="0"/>
        <v>0.33333333333333331</v>
      </c>
      <c r="X9" s="25">
        <f t="shared" si="1"/>
        <v>0.31250000000000006</v>
      </c>
      <c r="Y9" s="25">
        <f t="shared" si="2"/>
        <v>0.35416666666666663</v>
      </c>
      <c r="Z9" s="25">
        <f t="shared" si="3"/>
        <v>0</v>
      </c>
      <c r="AA9" s="25">
        <f t="shared" si="4"/>
        <v>0</v>
      </c>
      <c r="AB9" s="25">
        <f t="shared" si="5"/>
        <v>0.31250000000000006</v>
      </c>
      <c r="AC9" s="25">
        <f t="shared" si="6"/>
        <v>0.31250000000000006</v>
      </c>
    </row>
    <row r="10" spans="1:29" x14ac:dyDescent="0.3">
      <c r="A10" s="28" t="s">
        <v>42</v>
      </c>
      <c r="B10" s="34">
        <v>0.39583333333333331</v>
      </c>
      <c r="C10" s="34">
        <v>0.72916666666666663</v>
      </c>
      <c r="D10" s="34">
        <v>0.39583333333333331</v>
      </c>
      <c r="E10" s="34">
        <v>0.70833333333333337</v>
      </c>
      <c r="F10" s="31"/>
      <c r="G10" s="31"/>
      <c r="H10" s="31"/>
      <c r="I10" s="31"/>
      <c r="J10" s="34">
        <v>0.39583333333333331</v>
      </c>
      <c r="K10" s="34">
        <v>0.72916666666666663</v>
      </c>
      <c r="L10" s="34">
        <v>0.39583333333333331</v>
      </c>
      <c r="M10" s="34">
        <v>0.72916666666666663</v>
      </c>
      <c r="N10" s="34">
        <v>0.39583333333333331</v>
      </c>
      <c r="O10" s="34">
        <v>0.70833333333333337</v>
      </c>
      <c r="P10" s="32">
        <f t="shared" si="7"/>
        <v>1.625</v>
      </c>
      <c r="W10" s="25">
        <f t="shared" si="0"/>
        <v>0.33333333333333331</v>
      </c>
      <c r="X10" s="25">
        <f t="shared" si="1"/>
        <v>0.31250000000000006</v>
      </c>
      <c r="Y10" s="25">
        <f t="shared" si="2"/>
        <v>0</v>
      </c>
      <c r="Z10" s="25">
        <f t="shared" si="3"/>
        <v>0</v>
      </c>
      <c r="AA10" s="25">
        <f t="shared" si="4"/>
        <v>0.33333333333333331</v>
      </c>
      <c r="AB10" s="25">
        <f t="shared" si="5"/>
        <v>0.33333333333333331</v>
      </c>
      <c r="AC10" s="25">
        <f t="shared" si="6"/>
        <v>0.31250000000000006</v>
      </c>
    </row>
    <row r="11" spans="1:29" x14ac:dyDescent="0.3">
      <c r="A11" s="28" t="s">
        <v>14</v>
      </c>
      <c r="B11" s="34">
        <v>0.39583333333333331</v>
      </c>
      <c r="C11" s="34">
        <v>0.70833333333333337</v>
      </c>
      <c r="D11" s="31"/>
      <c r="E11" s="31"/>
      <c r="F11" s="31"/>
      <c r="G11" s="31"/>
      <c r="H11" s="34">
        <v>0.39583333333333331</v>
      </c>
      <c r="I11" s="34">
        <v>0.72916666666666663</v>
      </c>
      <c r="J11" s="34">
        <v>0.375</v>
      </c>
      <c r="K11" s="34">
        <v>0.70833333333333337</v>
      </c>
      <c r="L11" s="34">
        <v>0.39583333333333331</v>
      </c>
      <c r="M11" s="34">
        <v>0.72916666666666663</v>
      </c>
      <c r="N11" s="34">
        <v>0.39583333333333331</v>
      </c>
      <c r="O11" s="34">
        <v>0.70833333333333337</v>
      </c>
      <c r="P11" s="32">
        <f t="shared" si="7"/>
        <v>1.625</v>
      </c>
      <c r="W11" s="25">
        <f t="shared" si="0"/>
        <v>0.31250000000000006</v>
      </c>
      <c r="X11" s="25">
        <f t="shared" si="1"/>
        <v>0</v>
      </c>
      <c r="Y11" s="25">
        <f t="shared" si="2"/>
        <v>0</v>
      </c>
      <c r="Z11" s="25">
        <f t="shared" si="3"/>
        <v>0.33333333333333331</v>
      </c>
      <c r="AA11" s="25">
        <f t="shared" si="4"/>
        <v>0.33333333333333337</v>
      </c>
      <c r="AB11" s="25">
        <f t="shared" si="5"/>
        <v>0.33333333333333331</v>
      </c>
      <c r="AC11" s="25">
        <f t="shared" si="6"/>
        <v>0.31250000000000006</v>
      </c>
    </row>
    <row r="12" spans="1:29" x14ac:dyDescent="0.3">
      <c r="A12" s="35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W12" s="25">
        <f t="shared" si="0"/>
        <v>0</v>
      </c>
      <c r="X12" s="25">
        <f t="shared" si="1"/>
        <v>0</v>
      </c>
      <c r="Y12" s="25">
        <f t="shared" si="2"/>
        <v>0</v>
      </c>
      <c r="Z12" s="25">
        <f t="shared" si="3"/>
        <v>0</v>
      </c>
      <c r="AA12" s="25">
        <f t="shared" si="4"/>
        <v>0</v>
      </c>
      <c r="AB12" s="25">
        <f t="shared" si="5"/>
        <v>0</v>
      </c>
      <c r="AC12" s="25">
        <f t="shared" si="6"/>
        <v>0</v>
      </c>
    </row>
    <row r="13" spans="1:29" x14ac:dyDescent="0.3">
      <c r="A13" s="29" t="s">
        <v>16</v>
      </c>
      <c r="B13" s="31"/>
      <c r="C13" s="31"/>
      <c r="D13" s="37">
        <v>0.70833333333333337</v>
      </c>
      <c r="E13" s="37">
        <v>1.0625</v>
      </c>
      <c r="F13" s="37">
        <v>0.72916666666666663</v>
      </c>
      <c r="G13" s="37">
        <v>1.0625</v>
      </c>
      <c r="H13" s="37">
        <v>0.70833333333333304</v>
      </c>
      <c r="I13" s="37">
        <v>1.0625</v>
      </c>
      <c r="J13" s="37">
        <v>0.70833333333333304</v>
      </c>
      <c r="K13" s="37">
        <v>1.0625</v>
      </c>
      <c r="L13" s="37">
        <v>0.70833333333333304</v>
      </c>
      <c r="M13" s="37">
        <v>1.0625</v>
      </c>
      <c r="N13" s="31"/>
      <c r="O13" s="31"/>
      <c r="P13" s="38">
        <f t="shared" ref="P13:P18" si="8">W13+X13+Y13+Z13+AA13+AB13+AC13</f>
        <v>1.7500000000000009</v>
      </c>
      <c r="W13" s="25">
        <f t="shared" si="0"/>
        <v>0</v>
      </c>
      <c r="X13" s="25">
        <f t="shared" si="1"/>
        <v>0.35416666666666663</v>
      </c>
      <c r="Y13" s="25">
        <f t="shared" si="2"/>
        <v>0.33333333333333337</v>
      </c>
      <c r="Z13" s="25">
        <f t="shared" si="3"/>
        <v>0.35416666666666696</v>
      </c>
      <c r="AA13" s="25">
        <f t="shared" si="4"/>
        <v>0.35416666666666696</v>
      </c>
      <c r="AB13" s="25">
        <f t="shared" si="5"/>
        <v>0.35416666666666696</v>
      </c>
      <c r="AC13" s="25">
        <f t="shared" si="6"/>
        <v>0</v>
      </c>
    </row>
    <row r="14" spans="1:29" x14ac:dyDescent="0.3">
      <c r="A14" s="29" t="s">
        <v>17</v>
      </c>
      <c r="B14" s="37">
        <v>0.70833333333333337</v>
      </c>
      <c r="C14" s="37">
        <v>1.0208333333333299</v>
      </c>
      <c r="D14" s="31"/>
      <c r="E14" s="31"/>
      <c r="F14" s="31"/>
      <c r="G14" s="31"/>
      <c r="H14" s="37">
        <v>0.70833333333333337</v>
      </c>
      <c r="I14" s="37">
        <v>1.0625</v>
      </c>
      <c r="J14" s="37">
        <v>0.70833333333333304</v>
      </c>
      <c r="K14" s="37">
        <v>1.0625</v>
      </c>
      <c r="L14" s="37">
        <v>0.6875</v>
      </c>
      <c r="M14" s="37">
        <v>1.0625</v>
      </c>
      <c r="N14" s="37">
        <v>0.66666666666666663</v>
      </c>
      <c r="O14" s="37">
        <v>1.0208333333333333</v>
      </c>
      <c r="P14" s="38">
        <f t="shared" si="8"/>
        <v>1.7499999999999969</v>
      </c>
      <c r="W14" s="25">
        <f t="shared" si="0"/>
        <v>0.31249999999999656</v>
      </c>
      <c r="X14" s="25">
        <f t="shared" si="1"/>
        <v>0</v>
      </c>
      <c r="Y14" s="25">
        <f t="shared" si="2"/>
        <v>0</v>
      </c>
      <c r="Z14" s="25">
        <f t="shared" si="3"/>
        <v>0.35416666666666663</v>
      </c>
      <c r="AA14" s="25">
        <f t="shared" si="4"/>
        <v>0.35416666666666696</v>
      </c>
      <c r="AB14" s="25">
        <f t="shared" si="5"/>
        <v>0.375</v>
      </c>
      <c r="AC14" s="25">
        <f t="shared" si="6"/>
        <v>0.35416666666666663</v>
      </c>
    </row>
    <row r="15" spans="1:29" x14ac:dyDescent="0.3">
      <c r="A15" s="29" t="s">
        <v>21</v>
      </c>
      <c r="B15" s="39"/>
      <c r="C15" s="39"/>
      <c r="D15" s="37">
        <v>0.70833333333333337</v>
      </c>
      <c r="E15" s="37">
        <v>1.0625</v>
      </c>
      <c r="F15" s="37">
        <v>0.70833333333333337</v>
      </c>
      <c r="G15" s="37">
        <v>1.0625</v>
      </c>
      <c r="H15" s="37">
        <v>0.72916666666666663</v>
      </c>
      <c r="I15" s="37">
        <v>1.0625</v>
      </c>
      <c r="J15" s="37">
        <v>0.70833333333333337</v>
      </c>
      <c r="K15" s="37">
        <v>1.0625</v>
      </c>
      <c r="L15" s="37">
        <v>0.70833333333333337</v>
      </c>
      <c r="M15" s="37">
        <v>1.0625</v>
      </c>
      <c r="N15" s="31"/>
      <c r="O15" s="31"/>
      <c r="P15" s="38">
        <f t="shared" si="8"/>
        <v>1.7499999999999996</v>
      </c>
      <c r="W15" s="25">
        <f t="shared" si="0"/>
        <v>0</v>
      </c>
      <c r="X15" s="25">
        <f t="shared" si="1"/>
        <v>0.35416666666666663</v>
      </c>
      <c r="Y15" s="25">
        <f t="shared" si="2"/>
        <v>0.35416666666666663</v>
      </c>
      <c r="Z15" s="25">
        <f t="shared" si="3"/>
        <v>0.33333333333333337</v>
      </c>
      <c r="AA15" s="25">
        <f t="shared" si="4"/>
        <v>0.35416666666666663</v>
      </c>
      <c r="AB15" s="25">
        <f t="shared" si="5"/>
        <v>0.35416666666666663</v>
      </c>
      <c r="AC15" s="25">
        <f t="shared" si="6"/>
        <v>0</v>
      </c>
    </row>
    <row r="16" spans="1:29" x14ac:dyDescent="0.3">
      <c r="A16" s="40" t="s">
        <v>18</v>
      </c>
      <c r="B16" s="37">
        <v>0.72916666666666663</v>
      </c>
      <c r="C16" s="37">
        <v>1.0208333333333299</v>
      </c>
      <c r="D16" s="37">
        <v>0.70833333333333337</v>
      </c>
      <c r="E16" s="37">
        <v>1.0625</v>
      </c>
      <c r="F16" s="37">
        <v>0.75</v>
      </c>
      <c r="G16" s="37">
        <v>1.0625</v>
      </c>
      <c r="H16" s="39"/>
      <c r="I16" s="39"/>
      <c r="J16" s="39"/>
      <c r="K16" s="39"/>
      <c r="L16" s="37">
        <v>0.70833333333333337</v>
      </c>
      <c r="M16" s="37">
        <v>1.0625</v>
      </c>
      <c r="N16" s="37">
        <v>0.70833333333333337</v>
      </c>
      <c r="O16" s="37">
        <v>1.0208333333333333</v>
      </c>
      <c r="P16" s="38">
        <f t="shared" si="8"/>
        <v>1.6249999999999964</v>
      </c>
      <c r="W16" s="25">
        <f t="shared" si="0"/>
        <v>0.2916666666666633</v>
      </c>
      <c r="X16" s="25">
        <f t="shared" si="1"/>
        <v>0.35416666666666663</v>
      </c>
      <c r="Y16" s="25">
        <f t="shared" si="2"/>
        <v>0.3125</v>
      </c>
      <c r="Z16" s="25">
        <f t="shared" si="3"/>
        <v>0</v>
      </c>
      <c r="AA16" s="25">
        <f t="shared" si="4"/>
        <v>0</v>
      </c>
      <c r="AB16" s="25">
        <f t="shared" si="5"/>
        <v>0.35416666666666663</v>
      </c>
      <c r="AC16" s="25">
        <f t="shared" si="6"/>
        <v>0.31249999999999989</v>
      </c>
    </row>
    <row r="17" spans="1:30" x14ac:dyDescent="0.3">
      <c r="A17" s="28" t="s">
        <v>26</v>
      </c>
      <c r="B17" s="37">
        <v>0.72916666666666663</v>
      </c>
      <c r="C17" s="37">
        <v>1.0208333333333333</v>
      </c>
      <c r="D17" s="31"/>
      <c r="E17" s="31"/>
      <c r="F17" s="31"/>
      <c r="G17" s="31"/>
      <c r="H17" s="37">
        <v>0.75</v>
      </c>
      <c r="I17" s="37">
        <v>1.0625</v>
      </c>
      <c r="J17" s="37">
        <v>0.75</v>
      </c>
      <c r="K17" s="37">
        <v>1.0625</v>
      </c>
      <c r="L17" s="37">
        <v>0.70833333333333337</v>
      </c>
      <c r="M17" s="37">
        <v>1.0625</v>
      </c>
      <c r="N17" s="37">
        <v>0.66666666666666663</v>
      </c>
      <c r="O17" s="37">
        <v>1.0208333333333333</v>
      </c>
      <c r="P17" s="38">
        <f t="shared" si="8"/>
        <v>1.625</v>
      </c>
      <c r="W17" s="25">
        <f t="shared" si="0"/>
        <v>0.29166666666666663</v>
      </c>
      <c r="X17" s="25">
        <f t="shared" si="1"/>
        <v>0</v>
      </c>
      <c r="Y17" s="25">
        <f t="shared" si="2"/>
        <v>0</v>
      </c>
      <c r="Z17" s="25">
        <f t="shared" si="3"/>
        <v>0.3125</v>
      </c>
      <c r="AA17" s="25">
        <f t="shared" si="4"/>
        <v>0.3125</v>
      </c>
      <c r="AB17" s="25">
        <f t="shared" si="5"/>
        <v>0.35416666666666663</v>
      </c>
      <c r="AC17" s="25">
        <f t="shared" si="6"/>
        <v>0.35416666666666663</v>
      </c>
    </row>
    <row r="18" spans="1:30" ht="15" thickBot="1" x14ac:dyDescent="0.35">
      <c r="A18" s="28" t="s">
        <v>41</v>
      </c>
      <c r="B18" s="31"/>
      <c r="C18" s="31"/>
      <c r="D18" s="37">
        <v>0.75</v>
      </c>
      <c r="E18" s="37">
        <v>1.0625</v>
      </c>
      <c r="F18" s="37">
        <v>0.72916666666666663</v>
      </c>
      <c r="G18" s="37">
        <v>1.0625</v>
      </c>
      <c r="H18" s="37">
        <v>0.75</v>
      </c>
      <c r="I18" s="37">
        <v>1.0625</v>
      </c>
      <c r="J18" s="37">
        <v>0.75</v>
      </c>
      <c r="K18" s="37">
        <v>1.0625</v>
      </c>
      <c r="L18" s="37">
        <v>0.70833333333333337</v>
      </c>
      <c r="M18" s="37">
        <v>1.0625</v>
      </c>
      <c r="N18" s="31"/>
      <c r="O18" s="31"/>
      <c r="P18" s="38">
        <f t="shared" si="8"/>
        <v>1.625</v>
      </c>
      <c r="W18" s="25">
        <f t="shared" si="0"/>
        <v>0</v>
      </c>
      <c r="X18" s="25">
        <f t="shared" si="1"/>
        <v>0.3125</v>
      </c>
      <c r="Y18" s="25">
        <f t="shared" si="2"/>
        <v>0.33333333333333337</v>
      </c>
      <c r="Z18" s="25">
        <f t="shared" si="3"/>
        <v>0.3125</v>
      </c>
      <c r="AA18" s="25">
        <f t="shared" si="4"/>
        <v>0.3125</v>
      </c>
      <c r="AB18" s="25">
        <f t="shared" si="5"/>
        <v>0.35416666666666663</v>
      </c>
      <c r="AC18" s="25">
        <f t="shared" si="6"/>
        <v>0</v>
      </c>
    </row>
    <row r="19" spans="1:30" ht="15" thickBot="1" x14ac:dyDescent="0.35">
      <c r="A19" s="1" t="e" cm="1">
        <f t="array" ref="A19">+A19:PA19:P+A19:P363628A1:P2A1:P47</f>
        <v>#NAME?</v>
      </c>
      <c r="B19" s="62" t="s">
        <v>0</v>
      </c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3"/>
      <c r="W19" s="25" t="e">
        <f t="shared" si="0"/>
        <v>#VALUE!</v>
      </c>
      <c r="X19" s="25">
        <f t="shared" si="1"/>
        <v>0</v>
      </c>
      <c r="Y19" s="25">
        <f t="shared" si="2"/>
        <v>0</v>
      </c>
      <c r="Z19" s="25">
        <f t="shared" si="3"/>
        <v>0</v>
      </c>
      <c r="AA19" s="25">
        <f t="shared" si="4"/>
        <v>0</v>
      </c>
      <c r="AB19" s="25">
        <f t="shared" si="5"/>
        <v>0</v>
      </c>
      <c r="AC19" s="25">
        <f t="shared" si="6"/>
        <v>0</v>
      </c>
    </row>
    <row r="20" spans="1:30" ht="15" customHeight="1" thickBot="1" x14ac:dyDescent="0.35">
      <c r="A20" s="22"/>
      <c r="B20" s="62" t="str">
        <f ca="1">B2</f>
        <v>SEMAINE 15</v>
      </c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3"/>
    </row>
    <row r="21" spans="1:30" x14ac:dyDescent="0.3">
      <c r="A21" s="23"/>
      <c r="B21" s="64" t="s">
        <v>1</v>
      </c>
      <c r="C21" s="65"/>
      <c r="D21" s="64" t="s">
        <v>2</v>
      </c>
      <c r="E21" s="65"/>
      <c r="F21" s="64" t="s">
        <v>3</v>
      </c>
      <c r="G21" s="65"/>
      <c r="H21" s="64" t="s">
        <v>4</v>
      </c>
      <c r="I21" s="65"/>
      <c r="J21" s="64" t="s">
        <v>5</v>
      </c>
      <c r="K21" s="65"/>
      <c r="L21" s="64" t="s">
        <v>6</v>
      </c>
      <c r="M21" s="65"/>
      <c r="N21" s="64" t="s">
        <v>7</v>
      </c>
      <c r="O21" s="65"/>
      <c r="P21" s="24" t="s">
        <v>8</v>
      </c>
    </row>
    <row r="22" spans="1:30" x14ac:dyDescent="0.3">
      <c r="A22" s="26"/>
      <c r="B22" s="58">
        <f>B4</f>
        <v>46118</v>
      </c>
      <c r="C22" s="59"/>
      <c r="D22" s="58">
        <f>D4</f>
        <v>46119</v>
      </c>
      <c r="E22" s="59"/>
      <c r="F22" s="58">
        <f>F4</f>
        <v>46120</v>
      </c>
      <c r="G22" s="59"/>
      <c r="H22" s="58">
        <f>H4</f>
        <v>46121</v>
      </c>
      <c r="I22" s="59"/>
      <c r="J22" s="58">
        <f>J4</f>
        <v>46122</v>
      </c>
      <c r="K22" s="59"/>
      <c r="L22" s="58">
        <f>L4</f>
        <v>46123</v>
      </c>
      <c r="M22" s="59"/>
      <c r="N22" s="58">
        <f>N4</f>
        <v>46124</v>
      </c>
      <c r="O22" s="59"/>
      <c r="P22" s="27"/>
    </row>
    <row r="23" spans="1:30" x14ac:dyDescent="0.3">
      <c r="A23" s="28" t="s">
        <v>9</v>
      </c>
      <c r="B23" s="58"/>
      <c r="C23" s="59"/>
      <c r="D23" s="58"/>
      <c r="E23" s="59"/>
      <c r="F23" s="58"/>
      <c r="G23" s="59"/>
      <c r="H23" s="58"/>
      <c r="I23" s="59"/>
      <c r="J23" s="58"/>
      <c r="K23" s="59"/>
      <c r="L23" s="58"/>
      <c r="M23" s="59"/>
      <c r="N23" s="58"/>
      <c r="O23" s="59"/>
      <c r="P23" s="27"/>
    </row>
    <row r="24" spans="1:30" x14ac:dyDescent="0.3">
      <c r="A24" s="29" t="s">
        <v>10</v>
      </c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1"/>
      <c r="M24" s="31"/>
      <c r="N24" s="31"/>
      <c r="O24" s="31"/>
      <c r="P24" s="32"/>
    </row>
    <row r="25" spans="1:30" x14ac:dyDescent="0.3">
      <c r="A25" s="33" t="s">
        <v>12</v>
      </c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1"/>
      <c r="M25" s="31"/>
      <c r="N25" s="31"/>
      <c r="O25" s="31"/>
      <c r="P25" s="32"/>
    </row>
    <row r="26" spans="1:30" x14ac:dyDescent="0.3">
      <c r="A26" s="28" t="s">
        <v>36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4"/>
      <c r="M26" s="34"/>
      <c r="N26" s="34"/>
      <c r="O26" s="34"/>
      <c r="P26" s="32"/>
    </row>
    <row r="27" spans="1:30" x14ac:dyDescent="0.3">
      <c r="A27" s="28" t="s">
        <v>37</v>
      </c>
      <c r="B27" s="34"/>
      <c r="C27" s="34"/>
      <c r="D27" s="34"/>
      <c r="E27" s="34"/>
      <c r="F27" s="34"/>
      <c r="G27" s="34"/>
      <c r="H27" s="31"/>
      <c r="I27" s="31"/>
      <c r="J27" s="31"/>
      <c r="K27" s="31"/>
      <c r="L27" s="34"/>
      <c r="M27" s="34"/>
      <c r="N27" s="34"/>
      <c r="O27" s="34"/>
      <c r="P27" s="32"/>
    </row>
    <row r="28" spans="1:30" x14ac:dyDescent="0.3">
      <c r="A28" s="28" t="s">
        <v>42</v>
      </c>
      <c r="B28" s="34"/>
      <c r="C28" s="34"/>
      <c r="D28" s="34"/>
      <c r="E28" s="34"/>
      <c r="F28" s="31"/>
      <c r="G28" s="31"/>
      <c r="H28" s="31"/>
      <c r="I28" s="31"/>
      <c r="J28" s="34"/>
      <c r="K28" s="34"/>
      <c r="L28" s="34"/>
      <c r="M28" s="34"/>
      <c r="N28" s="34"/>
      <c r="O28" s="34"/>
      <c r="P28" s="32"/>
    </row>
    <row r="29" spans="1:30" x14ac:dyDescent="0.3">
      <c r="A29" s="28" t="s">
        <v>14</v>
      </c>
      <c r="B29" s="34"/>
      <c r="C29" s="34"/>
      <c r="D29" s="31"/>
      <c r="E29" s="31"/>
      <c r="F29" s="31"/>
      <c r="G29" s="31"/>
      <c r="H29" s="34"/>
      <c r="I29" s="34"/>
      <c r="J29" s="34"/>
      <c r="K29" s="34"/>
      <c r="L29" s="34"/>
      <c r="M29" s="34"/>
      <c r="N29" s="34"/>
      <c r="O29" s="34"/>
      <c r="P29" s="32"/>
    </row>
    <row r="30" spans="1:30" x14ac:dyDescent="0.3">
      <c r="A30" s="35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AD30">
        <f>782.29+3021.53+695.24+839.95+797.33+3814.67+711.55+743.2+1118.36+63.46</f>
        <v>12587.58</v>
      </c>
    </row>
    <row r="31" spans="1:30" x14ac:dyDescent="0.3">
      <c r="A31" s="29" t="s">
        <v>16</v>
      </c>
      <c r="B31" s="31"/>
      <c r="C31" s="31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1"/>
      <c r="O31" s="31"/>
      <c r="P31" s="38"/>
    </row>
    <row r="32" spans="1:30" x14ac:dyDescent="0.3">
      <c r="A32" s="29" t="s">
        <v>17</v>
      </c>
      <c r="B32" s="37"/>
      <c r="C32" s="37"/>
      <c r="D32" s="31"/>
      <c r="E32" s="31"/>
      <c r="F32" s="31"/>
      <c r="G32" s="31"/>
      <c r="H32" s="37"/>
      <c r="I32" s="37"/>
      <c r="J32" s="37"/>
      <c r="K32" s="37"/>
      <c r="L32" s="37"/>
      <c r="M32" s="37"/>
      <c r="N32" s="37"/>
      <c r="O32" s="37"/>
      <c r="P32" s="38"/>
    </row>
    <row r="33" spans="1:16" x14ac:dyDescent="0.3">
      <c r="A33" s="29" t="s">
        <v>21</v>
      </c>
      <c r="B33" s="39"/>
      <c r="C33" s="39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9"/>
      <c r="O33" s="31"/>
      <c r="P33" s="38"/>
    </row>
    <row r="34" spans="1:16" x14ac:dyDescent="0.3">
      <c r="A34" s="40" t="s">
        <v>18</v>
      </c>
      <c r="B34" s="37"/>
      <c r="C34" s="37"/>
      <c r="D34" s="37"/>
      <c r="E34" s="37"/>
      <c r="F34" s="37"/>
      <c r="G34" s="37"/>
      <c r="H34" s="39"/>
      <c r="I34" s="39"/>
      <c r="J34" s="39"/>
      <c r="K34" s="39"/>
      <c r="L34" s="37"/>
      <c r="M34" s="37"/>
      <c r="N34" s="37"/>
      <c r="O34" s="37"/>
      <c r="P34" s="38"/>
    </row>
    <row r="35" spans="1:16" x14ac:dyDescent="0.3">
      <c r="A35" s="28" t="s">
        <v>26</v>
      </c>
      <c r="B35" s="37"/>
      <c r="C35" s="37"/>
      <c r="D35" s="31"/>
      <c r="E35" s="31"/>
      <c r="F35" s="31"/>
      <c r="G35" s="31"/>
      <c r="H35" s="37"/>
      <c r="I35" s="37"/>
      <c r="J35" s="37"/>
      <c r="K35" s="37"/>
      <c r="L35" s="37"/>
      <c r="M35" s="37"/>
      <c r="N35" s="37"/>
      <c r="O35" s="37"/>
      <c r="P35" s="38"/>
    </row>
    <row r="36" spans="1:16" x14ac:dyDescent="0.3">
      <c r="A36" s="40" t="s">
        <v>41</v>
      </c>
      <c r="B36" s="31"/>
      <c r="C36" s="31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1"/>
      <c r="O36" s="31"/>
      <c r="P36" s="38"/>
    </row>
  </sheetData>
  <mergeCells count="46">
    <mergeCell ref="N22:O22"/>
    <mergeCell ref="B23:C23"/>
    <mergeCell ref="D23:E23"/>
    <mergeCell ref="F23:G23"/>
    <mergeCell ref="H23:I23"/>
    <mergeCell ref="J23:K23"/>
    <mergeCell ref="L23:M23"/>
    <mergeCell ref="N23:O23"/>
    <mergeCell ref="B22:C22"/>
    <mergeCell ref="D22:E22"/>
    <mergeCell ref="F22:G22"/>
    <mergeCell ref="H22:I22"/>
    <mergeCell ref="J22:K22"/>
    <mergeCell ref="L22:M22"/>
    <mergeCell ref="B19:P19"/>
    <mergeCell ref="B20:P20"/>
    <mergeCell ref="B21:C21"/>
    <mergeCell ref="D21:E21"/>
    <mergeCell ref="F21:G21"/>
    <mergeCell ref="H21:I21"/>
    <mergeCell ref="J21:K21"/>
    <mergeCell ref="L21:M21"/>
    <mergeCell ref="N21:O21"/>
    <mergeCell ref="N4:O4"/>
    <mergeCell ref="B5:C5"/>
    <mergeCell ref="D5:E5"/>
    <mergeCell ref="F5:G5"/>
    <mergeCell ref="H5:I5"/>
    <mergeCell ref="J5:K5"/>
    <mergeCell ref="L5:M5"/>
    <mergeCell ref="N5:O5"/>
    <mergeCell ref="B4:C4"/>
    <mergeCell ref="D4:E4"/>
    <mergeCell ref="F4:G4"/>
    <mergeCell ref="H4:I4"/>
    <mergeCell ref="J4:K4"/>
    <mergeCell ref="L4:M4"/>
    <mergeCell ref="B1:P1"/>
    <mergeCell ref="B2:P2"/>
    <mergeCell ref="B3:C3"/>
    <mergeCell ref="D3:E3"/>
    <mergeCell ref="F3:G3"/>
    <mergeCell ref="H3:I3"/>
    <mergeCell ref="J3:K3"/>
    <mergeCell ref="L3:M3"/>
    <mergeCell ref="N3:O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37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EFB9C-E640-40A3-B888-60E072022197}">
  <sheetPr>
    <pageSetUpPr fitToPage="1"/>
  </sheetPr>
  <dimension ref="A1:AC36"/>
  <sheetViews>
    <sheetView workbookViewId="0">
      <selection activeCell="A18" sqref="A18"/>
    </sheetView>
  </sheetViews>
  <sheetFormatPr baseColWidth="10" defaultRowHeight="14.4" x14ac:dyDescent="0.3"/>
  <sheetData>
    <row r="1" spans="1:29" ht="15" thickBot="1" x14ac:dyDescent="0.35">
      <c r="A1" s="1" cm="1">
        <f t="array" aca="1" ref="A1" ca="1">A1:P34</f>
        <v>0</v>
      </c>
      <c r="B1" s="62" t="s">
        <v>0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3"/>
    </row>
    <row r="2" spans="1:29" ht="15" thickBot="1" x14ac:dyDescent="0.35">
      <c r="A2" s="22"/>
      <c r="B2" s="62" t="str">
        <f ca="1">"SEMAINE "&amp;_xlfn.SHEET()</f>
        <v>SEMAINE 16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3"/>
    </row>
    <row r="3" spans="1:29" x14ac:dyDescent="0.3">
      <c r="A3" s="23"/>
      <c r="B3" s="64" t="s">
        <v>1</v>
      </c>
      <c r="C3" s="65"/>
      <c r="D3" s="64" t="s">
        <v>2</v>
      </c>
      <c r="E3" s="65"/>
      <c r="F3" s="64" t="s">
        <v>3</v>
      </c>
      <c r="G3" s="65"/>
      <c r="H3" s="64" t="s">
        <v>4</v>
      </c>
      <c r="I3" s="65"/>
      <c r="J3" s="64" t="s">
        <v>5</v>
      </c>
      <c r="K3" s="65"/>
      <c r="L3" s="64" t="s">
        <v>6</v>
      </c>
      <c r="M3" s="65"/>
      <c r="N3" s="64" t="s">
        <v>7</v>
      </c>
      <c r="O3" s="65"/>
      <c r="P3" s="24" t="s">
        <v>8</v>
      </c>
      <c r="W3" s="25" t="e">
        <f t="shared" ref="W3:W19" si="0">C3-B3</f>
        <v>#VALUE!</v>
      </c>
      <c r="X3" s="25" t="e">
        <f t="shared" ref="X3:X19" si="1">E3-D3</f>
        <v>#VALUE!</v>
      </c>
      <c r="Y3" s="25" t="e">
        <f t="shared" ref="Y3:Y19" si="2">G3-F3</f>
        <v>#VALUE!</v>
      </c>
      <c r="Z3" s="25" t="e">
        <f t="shared" ref="Z3:Z19" si="3">I3-H3</f>
        <v>#VALUE!</v>
      </c>
      <c r="AA3" s="25" t="e">
        <f t="shared" ref="AA3:AA19" si="4">K3-J3</f>
        <v>#VALUE!</v>
      </c>
      <c r="AB3" s="25" t="e">
        <f t="shared" ref="AB3:AB19" si="5">M3-L3</f>
        <v>#VALUE!</v>
      </c>
      <c r="AC3" s="25" t="e">
        <f t="shared" ref="AC3:AC19" si="6">O3-N3</f>
        <v>#VALUE!</v>
      </c>
    </row>
    <row r="4" spans="1:29" x14ac:dyDescent="0.3">
      <c r="A4" s="26"/>
      <c r="B4" s="66">
        <v>46132</v>
      </c>
      <c r="C4" s="66"/>
      <c r="D4" s="66">
        <v>46133</v>
      </c>
      <c r="E4" s="66"/>
      <c r="F4" s="66">
        <v>46134</v>
      </c>
      <c r="G4" s="66"/>
      <c r="H4" s="66">
        <v>46135</v>
      </c>
      <c r="I4" s="66"/>
      <c r="J4" s="66">
        <v>46136</v>
      </c>
      <c r="K4" s="66"/>
      <c r="L4" s="66">
        <v>46137</v>
      </c>
      <c r="M4" s="66"/>
      <c r="N4" s="66">
        <v>46138</v>
      </c>
      <c r="O4" s="66"/>
      <c r="P4" s="27"/>
      <c r="W4" s="25">
        <f t="shared" si="0"/>
        <v>-46132</v>
      </c>
      <c r="X4" s="25">
        <f t="shared" si="1"/>
        <v>-46133</v>
      </c>
      <c r="Y4" s="25">
        <f t="shared" si="2"/>
        <v>-46134</v>
      </c>
      <c r="Z4" s="25">
        <f t="shared" si="3"/>
        <v>-46135</v>
      </c>
      <c r="AA4" s="25">
        <f t="shared" si="4"/>
        <v>-46136</v>
      </c>
      <c r="AB4" s="25">
        <f t="shared" si="5"/>
        <v>-46137</v>
      </c>
      <c r="AC4" s="25">
        <f t="shared" si="6"/>
        <v>-46138</v>
      </c>
    </row>
    <row r="5" spans="1:29" x14ac:dyDescent="0.3">
      <c r="A5" s="28" t="s">
        <v>9</v>
      </c>
      <c r="B5" s="58"/>
      <c r="C5" s="59"/>
      <c r="D5" s="58"/>
      <c r="E5" s="59"/>
      <c r="F5" s="58"/>
      <c r="G5" s="59"/>
      <c r="H5" s="58"/>
      <c r="I5" s="59"/>
      <c r="J5" s="58"/>
      <c r="K5" s="59"/>
      <c r="L5" s="58"/>
      <c r="M5" s="59"/>
      <c r="N5" s="58"/>
      <c r="O5" s="59"/>
      <c r="P5" s="27"/>
      <c r="W5" s="25">
        <f t="shared" si="0"/>
        <v>0</v>
      </c>
      <c r="X5" s="25">
        <f t="shared" si="1"/>
        <v>0</v>
      </c>
      <c r="Y5" s="25">
        <f t="shared" si="2"/>
        <v>0</v>
      </c>
      <c r="Z5" s="25">
        <f t="shared" si="3"/>
        <v>0</v>
      </c>
      <c r="AA5" s="25">
        <f t="shared" si="4"/>
        <v>0</v>
      </c>
      <c r="AB5" s="25">
        <f t="shared" si="5"/>
        <v>0</v>
      </c>
      <c r="AC5" s="25">
        <f t="shared" si="6"/>
        <v>0</v>
      </c>
    </row>
    <row r="6" spans="1:29" x14ac:dyDescent="0.3">
      <c r="A6" s="29" t="s">
        <v>10</v>
      </c>
      <c r="B6" s="30">
        <v>0.41666666666666669</v>
      </c>
      <c r="C6" s="30">
        <v>0.70833333333333337</v>
      </c>
      <c r="D6" s="30">
        <v>0.39583333333333331</v>
      </c>
      <c r="E6" s="30">
        <v>0.72916666666666663</v>
      </c>
      <c r="F6" s="30">
        <v>0.375</v>
      </c>
      <c r="G6" s="30">
        <v>0.72916666666666663</v>
      </c>
      <c r="H6" s="30">
        <v>0.41666666666666669</v>
      </c>
      <c r="I6" s="30">
        <v>0.72916666666666663</v>
      </c>
      <c r="J6" s="30">
        <v>0.375</v>
      </c>
      <c r="K6" s="30">
        <v>0.70833333333333337</v>
      </c>
      <c r="L6" s="31"/>
      <c r="M6" s="31"/>
      <c r="N6" s="31"/>
      <c r="O6" s="31"/>
      <c r="P6" s="32">
        <f t="shared" ref="P6:P11" si="7">W6+X6+Y6+Z6+AA6+AB6+AC6</f>
        <v>1.625</v>
      </c>
      <c r="W6" s="25">
        <f t="shared" si="0"/>
        <v>0.29166666666666669</v>
      </c>
      <c r="X6" s="25">
        <f t="shared" si="1"/>
        <v>0.33333333333333331</v>
      </c>
      <c r="Y6" s="25">
        <f t="shared" si="2"/>
        <v>0.35416666666666663</v>
      </c>
      <c r="Z6" s="25">
        <f t="shared" si="3"/>
        <v>0.31249999999999994</v>
      </c>
      <c r="AA6" s="25">
        <f t="shared" si="4"/>
        <v>0.33333333333333337</v>
      </c>
      <c r="AB6" s="25">
        <f t="shared" si="5"/>
        <v>0</v>
      </c>
      <c r="AC6" s="25">
        <f t="shared" si="6"/>
        <v>0</v>
      </c>
    </row>
    <row r="7" spans="1:29" x14ac:dyDescent="0.3">
      <c r="A7" s="33" t="s">
        <v>12</v>
      </c>
      <c r="B7" s="34">
        <v>0.41666666666666669</v>
      </c>
      <c r="C7" s="34">
        <v>0.70833333333333337</v>
      </c>
      <c r="D7" s="34">
        <v>0.41666666666666669</v>
      </c>
      <c r="E7" s="34">
        <v>0.70833333333333337</v>
      </c>
      <c r="F7" s="34">
        <v>0.41666666666666669</v>
      </c>
      <c r="G7" s="34">
        <v>0.70833333333333337</v>
      </c>
      <c r="H7" s="34">
        <v>0.41666666666666669</v>
      </c>
      <c r="I7" s="34">
        <v>0.70833333333333337</v>
      </c>
      <c r="J7" s="34">
        <v>0.41666666666666669</v>
      </c>
      <c r="K7" s="34">
        <v>0.70833333333333337</v>
      </c>
      <c r="L7" s="31"/>
      <c r="M7" s="31"/>
      <c r="N7" s="31"/>
      <c r="O7" s="31"/>
      <c r="P7" s="32">
        <f t="shared" si="7"/>
        <v>1.4583333333333335</v>
      </c>
      <c r="W7" s="25">
        <f t="shared" si="0"/>
        <v>0.29166666666666669</v>
      </c>
      <c r="X7" s="25">
        <f t="shared" si="1"/>
        <v>0.29166666666666669</v>
      </c>
      <c r="Y7" s="25">
        <f t="shared" si="2"/>
        <v>0.29166666666666669</v>
      </c>
      <c r="Z7" s="25">
        <f t="shared" si="3"/>
        <v>0.29166666666666669</v>
      </c>
      <c r="AA7" s="25">
        <f t="shared" si="4"/>
        <v>0.29166666666666669</v>
      </c>
      <c r="AB7" s="25">
        <f t="shared" si="5"/>
        <v>0</v>
      </c>
      <c r="AC7" s="25">
        <f t="shared" si="6"/>
        <v>0</v>
      </c>
    </row>
    <row r="8" spans="1:29" x14ac:dyDescent="0.3">
      <c r="A8" s="28" t="s">
        <v>36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4">
        <v>0.48958333333333331</v>
      </c>
      <c r="M8" s="34">
        <v>0.63541666666666663</v>
      </c>
      <c r="N8" s="34">
        <v>0.48958333333333331</v>
      </c>
      <c r="O8" s="34">
        <v>0.63541666666666663</v>
      </c>
      <c r="P8" s="32">
        <f t="shared" si="7"/>
        <v>0.29166666666666663</v>
      </c>
      <c r="W8" s="25">
        <f t="shared" si="0"/>
        <v>0</v>
      </c>
      <c r="X8" s="25">
        <f t="shared" si="1"/>
        <v>0</v>
      </c>
      <c r="Y8" s="25">
        <f t="shared" si="2"/>
        <v>0</v>
      </c>
      <c r="Z8" s="25">
        <f t="shared" si="3"/>
        <v>0</v>
      </c>
      <c r="AA8" s="25">
        <f t="shared" si="4"/>
        <v>0</v>
      </c>
      <c r="AB8" s="25">
        <f t="shared" si="5"/>
        <v>0.14583333333333331</v>
      </c>
      <c r="AC8" s="25">
        <f t="shared" si="6"/>
        <v>0.14583333333333331</v>
      </c>
    </row>
    <row r="9" spans="1:29" x14ac:dyDescent="0.3">
      <c r="A9" s="28" t="s">
        <v>37</v>
      </c>
      <c r="B9" s="34">
        <v>0.39583333333333331</v>
      </c>
      <c r="C9" s="34">
        <v>0.72916666666666663</v>
      </c>
      <c r="D9" s="34">
        <v>0.39583333333333331</v>
      </c>
      <c r="E9" s="34">
        <v>0.70833333333333337</v>
      </c>
      <c r="F9" s="34">
        <v>0.375</v>
      </c>
      <c r="G9" s="34">
        <v>0.72916666666666663</v>
      </c>
      <c r="H9" s="31"/>
      <c r="I9" s="31"/>
      <c r="J9" s="31"/>
      <c r="K9" s="31"/>
      <c r="L9" s="34">
        <v>0.39583333333333331</v>
      </c>
      <c r="M9" s="34">
        <v>0.70833333333333337</v>
      </c>
      <c r="N9" s="34">
        <v>0.39583333333333331</v>
      </c>
      <c r="O9" s="34">
        <v>0.70833333333333337</v>
      </c>
      <c r="P9" s="32">
        <f t="shared" si="7"/>
        <v>1.625</v>
      </c>
      <c r="W9" s="25">
        <f t="shared" si="0"/>
        <v>0.33333333333333331</v>
      </c>
      <c r="X9" s="25">
        <f t="shared" si="1"/>
        <v>0.31250000000000006</v>
      </c>
      <c r="Y9" s="25">
        <f t="shared" si="2"/>
        <v>0.35416666666666663</v>
      </c>
      <c r="Z9" s="25">
        <f t="shared" si="3"/>
        <v>0</v>
      </c>
      <c r="AA9" s="25">
        <f t="shared" si="4"/>
        <v>0</v>
      </c>
      <c r="AB9" s="25">
        <f t="shared" si="5"/>
        <v>0.31250000000000006</v>
      </c>
      <c r="AC9" s="25">
        <f t="shared" si="6"/>
        <v>0.31250000000000006</v>
      </c>
    </row>
    <row r="10" spans="1:29" x14ac:dyDescent="0.3">
      <c r="A10" s="28" t="s">
        <v>42</v>
      </c>
      <c r="B10" s="34">
        <v>0.39583333333333331</v>
      </c>
      <c r="C10" s="34">
        <v>0.72916666666666663</v>
      </c>
      <c r="D10" s="34">
        <v>0.39583333333333331</v>
      </c>
      <c r="E10" s="34">
        <v>0.70833333333333337</v>
      </c>
      <c r="F10" s="31"/>
      <c r="G10" s="31"/>
      <c r="H10" s="31"/>
      <c r="I10" s="31"/>
      <c r="J10" s="34">
        <v>0.39583333333333331</v>
      </c>
      <c r="K10" s="34">
        <v>0.72916666666666663</v>
      </c>
      <c r="L10" s="34">
        <v>0.39583333333333331</v>
      </c>
      <c r="M10" s="34">
        <v>0.72916666666666663</v>
      </c>
      <c r="N10" s="34">
        <v>0.39583333333333331</v>
      </c>
      <c r="O10" s="34">
        <v>0.70833333333333337</v>
      </c>
      <c r="P10" s="32">
        <f t="shared" si="7"/>
        <v>1.625</v>
      </c>
      <c r="W10" s="25">
        <f t="shared" si="0"/>
        <v>0.33333333333333331</v>
      </c>
      <c r="X10" s="25">
        <f t="shared" si="1"/>
        <v>0.31250000000000006</v>
      </c>
      <c r="Y10" s="25">
        <f t="shared" si="2"/>
        <v>0</v>
      </c>
      <c r="Z10" s="25">
        <f t="shared" si="3"/>
        <v>0</v>
      </c>
      <c r="AA10" s="25">
        <f t="shared" si="4"/>
        <v>0.33333333333333331</v>
      </c>
      <c r="AB10" s="25">
        <f t="shared" si="5"/>
        <v>0.33333333333333331</v>
      </c>
      <c r="AC10" s="25">
        <f t="shared" si="6"/>
        <v>0.31250000000000006</v>
      </c>
    </row>
    <row r="11" spans="1:29" x14ac:dyDescent="0.3">
      <c r="A11" s="28" t="s">
        <v>14</v>
      </c>
      <c r="B11" s="34">
        <v>0.39583333333333331</v>
      </c>
      <c r="C11" s="34">
        <v>0.70833333333333337</v>
      </c>
      <c r="D11" s="31"/>
      <c r="E11" s="31"/>
      <c r="F11" s="31"/>
      <c r="G11" s="31"/>
      <c r="H11" s="34">
        <v>0.39583333333333331</v>
      </c>
      <c r="I11" s="34">
        <v>0.72916666666666663</v>
      </c>
      <c r="J11" s="34">
        <v>0.375</v>
      </c>
      <c r="K11" s="34">
        <v>0.70833333333333337</v>
      </c>
      <c r="L11" s="34">
        <v>0.39583333333333331</v>
      </c>
      <c r="M11" s="34">
        <v>0.72916666666666663</v>
      </c>
      <c r="N11" s="34">
        <v>0.39583333333333331</v>
      </c>
      <c r="O11" s="34">
        <v>0.70833333333333337</v>
      </c>
      <c r="P11" s="32">
        <f t="shared" si="7"/>
        <v>1.625</v>
      </c>
      <c r="W11" s="25">
        <f t="shared" si="0"/>
        <v>0.31250000000000006</v>
      </c>
      <c r="X11" s="25">
        <f t="shared" si="1"/>
        <v>0</v>
      </c>
      <c r="Y11" s="25">
        <f t="shared" si="2"/>
        <v>0</v>
      </c>
      <c r="Z11" s="25">
        <f t="shared" si="3"/>
        <v>0.33333333333333331</v>
      </c>
      <c r="AA11" s="25">
        <f t="shared" si="4"/>
        <v>0.33333333333333337</v>
      </c>
      <c r="AB11" s="25">
        <f t="shared" si="5"/>
        <v>0.33333333333333331</v>
      </c>
      <c r="AC11" s="25">
        <f t="shared" si="6"/>
        <v>0.31250000000000006</v>
      </c>
    </row>
    <row r="12" spans="1:29" x14ac:dyDescent="0.3">
      <c r="A12" s="35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W12" s="25">
        <f t="shared" si="0"/>
        <v>0</v>
      </c>
      <c r="X12" s="25">
        <f t="shared" si="1"/>
        <v>0</v>
      </c>
      <c r="Y12" s="25">
        <f t="shared" si="2"/>
        <v>0</v>
      </c>
      <c r="Z12" s="25">
        <f t="shared" si="3"/>
        <v>0</v>
      </c>
      <c r="AA12" s="25">
        <f t="shared" si="4"/>
        <v>0</v>
      </c>
      <c r="AB12" s="25">
        <f t="shared" si="5"/>
        <v>0</v>
      </c>
      <c r="AC12" s="25">
        <f t="shared" si="6"/>
        <v>0</v>
      </c>
    </row>
    <row r="13" spans="1:29" x14ac:dyDescent="0.3">
      <c r="A13" s="29" t="s">
        <v>16</v>
      </c>
      <c r="B13" s="31"/>
      <c r="C13" s="31"/>
      <c r="D13" s="37">
        <v>0.70833333333333337</v>
      </c>
      <c r="E13" s="37">
        <v>1.0625</v>
      </c>
      <c r="F13" s="37">
        <v>0.72916666666666663</v>
      </c>
      <c r="G13" s="37">
        <v>1.0625</v>
      </c>
      <c r="H13" s="37">
        <v>0.70833333333333304</v>
      </c>
      <c r="I13" s="37">
        <v>1.0625</v>
      </c>
      <c r="J13" s="37">
        <v>0.70833333333333304</v>
      </c>
      <c r="K13" s="37">
        <v>1.0625</v>
      </c>
      <c r="L13" s="37">
        <v>0.70833333333333304</v>
      </c>
      <c r="M13" s="37">
        <v>1.0625</v>
      </c>
      <c r="N13" s="31"/>
      <c r="O13" s="31"/>
      <c r="P13" s="38">
        <f t="shared" ref="P13:P17" si="8">W13+X13+Y13+Z13+AA13+AB13+AC13</f>
        <v>1.7500000000000009</v>
      </c>
      <c r="W13" s="25">
        <f t="shared" si="0"/>
        <v>0</v>
      </c>
      <c r="X13" s="25">
        <f t="shared" si="1"/>
        <v>0.35416666666666663</v>
      </c>
      <c r="Y13" s="25">
        <f t="shared" si="2"/>
        <v>0.33333333333333337</v>
      </c>
      <c r="Z13" s="25">
        <f t="shared" si="3"/>
        <v>0.35416666666666696</v>
      </c>
      <c r="AA13" s="25">
        <f t="shared" si="4"/>
        <v>0.35416666666666696</v>
      </c>
      <c r="AB13" s="25">
        <f t="shared" si="5"/>
        <v>0.35416666666666696</v>
      </c>
      <c r="AC13" s="25">
        <f t="shared" si="6"/>
        <v>0</v>
      </c>
    </row>
    <row r="14" spans="1:29" x14ac:dyDescent="0.3">
      <c r="A14" s="29" t="s">
        <v>17</v>
      </c>
      <c r="B14" s="37">
        <v>0.70833333333333337</v>
      </c>
      <c r="C14" s="37">
        <v>1.0208333333333299</v>
      </c>
      <c r="D14" s="31"/>
      <c r="E14" s="31"/>
      <c r="F14" s="31"/>
      <c r="G14" s="31"/>
      <c r="H14" s="37">
        <v>0.70833333333333337</v>
      </c>
      <c r="I14" s="37">
        <v>1.0625</v>
      </c>
      <c r="J14" s="37">
        <v>0.70833333333333304</v>
      </c>
      <c r="K14" s="37">
        <v>1.0625</v>
      </c>
      <c r="L14" s="37">
        <v>0.6875</v>
      </c>
      <c r="M14" s="37">
        <v>1.0625</v>
      </c>
      <c r="N14" s="37">
        <v>0.66666666666666663</v>
      </c>
      <c r="O14" s="37">
        <v>1.0208333333333333</v>
      </c>
      <c r="P14" s="38">
        <f t="shared" si="8"/>
        <v>1.7499999999999969</v>
      </c>
      <c r="W14" s="25">
        <f t="shared" si="0"/>
        <v>0.31249999999999656</v>
      </c>
      <c r="X14" s="25">
        <f>E14-D14</f>
        <v>0</v>
      </c>
      <c r="Y14" s="25">
        <f t="shared" si="2"/>
        <v>0</v>
      </c>
      <c r="Z14" s="25">
        <f t="shared" si="3"/>
        <v>0.35416666666666663</v>
      </c>
      <c r="AA14" s="25">
        <f t="shared" si="4"/>
        <v>0.35416666666666696</v>
      </c>
      <c r="AB14" s="25">
        <f t="shared" si="5"/>
        <v>0.375</v>
      </c>
      <c r="AC14" s="25">
        <f t="shared" si="6"/>
        <v>0.35416666666666663</v>
      </c>
    </row>
    <row r="15" spans="1:29" x14ac:dyDescent="0.3">
      <c r="A15" s="29" t="s">
        <v>21</v>
      </c>
      <c r="B15" s="39"/>
      <c r="C15" s="39"/>
      <c r="D15" s="37">
        <v>0.70833333333333337</v>
      </c>
      <c r="E15" s="37">
        <v>1.0625</v>
      </c>
      <c r="F15" s="37">
        <v>0.70833333333333337</v>
      </c>
      <c r="G15" s="37">
        <v>1.0625</v>
      </c>
      <c r="H15" s="37">
        <v>0.72916666666666663</v>
      </c>
      <c r="I15" s="37">
        <v>1.0625</v>
      </c>
      <c r="J15" s="37">
        <v>0.70833333333333337</v>
      </c>
      <c r="K15" s="37">
        <v>1.0625</v>
      </c>
      <c r="L15" s="37">
        <v>0.70833333333333337</v>
      </c>
      <c r="M15" s="37">
        <v>1.0625</v>
      </c>
      <c r="N15" s="31"/>
      <c r="O15" s="31"/>
      <c r="P15" s="38">
        <f t="shared" si="8"/>
        <v>1.7499999999999996</v>
      </c>
      <c r="W15" s="25">
        <f t="shared" si="0"/>
        <v>0</v>
      </c>
      <c r="X15" s="25">
        <f t="shared" si="1"/>
        <v>0.35416666666666663</v>
      </c>
      <c r="Y15" s="25">
        <f t="shared" si="2"/>
        <v>0.35416666666666663</v>
      </c>
      <c r="Z15" s="25">
        <f t="shared" si="3"/>
        <v>0.33333333333333337</v>
      </c>
      <c r="AA15" s="25">
        <f t="shared" si="4"/>
        <v>0.35416666666666663</v>
      </c>
      <c r="AB15" s="25">
        <f t="shared" si="5"/>
        <v>0.35416666666666663</v>
      </c>
      <c r="AC15" s="25">
        <f t="shared" si="6"/>
        <v>0</v>
      </c>
    </row>
    <row r="16" spans="1:29" x14ac:dyDescent="0.3">
      <c r="A16" s="40" t="s">
        <v>18</v>
      </c>
      <c r="B16" s="37">
        <v>0.72916666666666663</v>
      </c>
      <c r="C16" s="37">
        <v>1.0208333333333299</v>
      </c>
      <c r="D16" s="37">
        <v>0.70833333333333337</v>
      </c>
      <c r="E16" s="37">
        <v>1.0625</v>
      </c>
      <c r="F16" s="37">
        <v>0.75</v>
      </c>
      <c r="G16" s="37">
        <v>1.0625</v>
      </c>
      <c r="H16" s="39"/>
      <c r="I16" s="39"/>
      <c r="J16" s="39"/>
      <c r="K16" s="39"/>
      <c r="L16" s="37">
        <v>0.70833333333333337</v>
      </c>
      <c r="M16" s="37">
        <v>1.0625</v>
      </c>
      <c r="N16" s="37">
        <v>0.70833333333333337</v>
      </c>
      <c r="O16" s="37">
        <v>1.0208333333333333</v>
      </c>
      <c r="P16" s="38">
        <f t="shared" si="8"/>
        <v>1.6249999999999964</v>
      </c>
      <c r="W16" s="25">
        <f t="shared" si="0"/>
        <v>0.2916666666666633</v>
      </c>
      <c r="X16" s="25">
        <f t="shared" si="1"/>
        <v>0.35416666666666663</v>
      </c>
      <c r="Y16" s="25">
        <f t="shared" si="2"/>
        <v>0.3125</v>
      </c>
      <c r="Z16" s="25">
        <f t="shared" si="3"/>
        <v>0</v>
      </c>
      <c r="AA16" s="25">
        <f t="shared" si="4"/>
        <v>0</v>
      </c>
      <c r="AB16" s="25">
        <f t="shared" si="5"/>
        <v>0.35416666666666663</v>
      </c>
      <c r="AC16" s="25">
        <f t="shared" si="6"/>
        <v>0.31249999999999989</v>
      </c>
    </row>
    <row r="17" spans="1:29" x14ac:dyDescent="0.3">
      <c r="A17" s="28" t="s">
        <v>26</v>
      </c>
      <c r="B17" s="37">
        <v>0.72916666666666663</v>
      </c>
      <c r="C17" s="37">
        <v>1.0208333333333333</v>
      </c>
      <c r="D17" s="31"/>
      <c r="E17" s="31"/>
      <c r="F17" s="31"/>
      <c r="G17" s="31"/>
      <c r="H17" s="37">
        <v>0.75</v>
      </c>
      <c r="I17" s="37">
        <v>1.0625</v>
      </c>
      <c r="J17" s="37">
        <v>0.75</v>
      </c>
      <c r="K17" s="37">
        <v>1.0625</v>
      </c>
      <c r="L17" s="37">
        <v>0.70833333333333337</v>
      </c>
      <c r="M17" s="37">
        <v>1.0625</v>
      </c>
      <c r="N17" s="37">
        <v>0.66666666666666663</v>
      </c>
      <c r="O17" s="37">
        <v>1.0208333333333333</v>
      </c>
      <c r="P17" s="38">
        <f t="shared" si="8"/>
        <v>1.625</v>
      </c>
      <c r="W17" s="25">
        <f t="shared" si="0"/>
        <v>0.29166666666666663</v>
      </c>
      <c r="X17" s="25">
        <f t="shared" si="1"/>
        <v>0</v>
      </c>
      <c r="Y17" s="25">
        <f t="shared" si="2"/>
        <v>0</v>
      </c>
      <c r="Z17" s="25">
        <f t="shared" si="3"/>
        <v>0.3125</v>
      </c>
      <c r="AA17" s="25">
        <f t="shared" si="4"/>
        <v>0.3125</v>
      </c>
      <c r="AB17" s="25">
        <f t="shared" si="5"/>
        <v>0.35416666666666663</v>
      </c>
      <c r="AC17" s="25">
        <f t="shared" si="6"/>
        <v>0.35416666666666663</v>
      </c>
    </row>
    <row r="18" spans="1:29" x14ac:dyDescent="0.3">
      <c r="A18" s="45" t="s">
        <v>45</v>
      </c>
      <c r="B18" s="31"/>
      <c r="C18" s="31"/>
      <c r="D18" s="37">
        <v>0.75</v>
      </c>
      <c r="E18" s="37">
        <v>1.0625</v>
      </c>
      <c r="F18" s="37">
        <v>0.72916666666666663</v>
      </c>
      <c r="G18" s="37">
        <v>1.0625</v>
      </c>
      <c r="H18" s="37">
        <v>0.75</v>
      </c>
      <c r="I18" s="37">
        <v>1.0625</v>
      </c>
      <c r="J18" s="37">
        <v>0.75</v>
      </c>
      <c r="K18" s="37">
        <v>1.0625</v>
      </c>
      <c r="L18" s="37">
        <v>0.70833333333333337</v>
      </c>
      <c r="M18" s="37">
        <v>1.0625</v>
      </c>
      <c r="N18" s="31"/>
      <c r="O18" s="31"/>
      <c r="P18" s="49">
        <f>W18+X18+Y18+Z18+AA18+AB18+AC18</f>
        <v>1.625</v>
      </c>
      <c r="W18" s="25">
        <f t="shared" si="0"/>
        <v>0</v>
      </c>
      <c r="X18" s="25">
        <f t="shared" si="1"/>
        <v>0.3125</v>
      </c>
      <c r="Y18" s="25">
        <f t="shared" si="2"/>
        <v>0.33333333333333337</v>
      </c>
      <c r="Z18" s="25">
        <f t="shared" si="3"/>
        <v>0.3125</v>
      </c>
      <c r="AA18" s="25">
        <f t="shared" si="4"/>
        <v>0.3125</v>
      </c>
      <c r="AB18" s="25">
        <f t="shared" si="5"/>
        <v>0.35416666666666663</v>
      </c>
      <c r="AC18" s="25">
        <f t="shared" si="6"/>
        <v>0</v>
      </c>
    </row>
    <row r="19" spans="1:29" ht="15" thickBot="1" x14ac:dyDescent="0.35">
      <c r="A19" s="50" t="e" cm="1">
        <f t="array" ref="A19">+A19:PA19:P+A19:P363628A1:P2A1:P46</f>
        <v>#NAME?</v>
      </c>
      <c r="B19" s="60" t="s">
        <v>0</v>
      </c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1"/>
      <c r="W19" s="25" t="e">
        <f t="shared" si="0"/>
        <v>#VALUE!</v>
      </c>
      <c r="X19" s="25">
        <f t="shared" si="1"/>
        <v>0</v>
      </c>
      <c r="Y19" s="25">
        <f t="shared" si="2"/>
        <v>0</v>
      </c>
      <c r="Z19" s="25">
        <f t="shared" si="3"/>
        <v>0</v>
      </c>
      <c r="AA19" s="25">
        <f t="shared" si="4"/>
        <v>0</v>
      </c>
      <c r="AB19" s="25">
        <f t="shared" si="5"/>
        <v>0</v>
      </c>
      <c r="AC19" s="25">
        <f t="shared" si="6"/>
        <v>0</v>
      </c>
    </row>
    <row r="20" spans="1:29" ht="15" thickBot="1" x14ac:dyDescent="0.35">
      <c r="A20" s="22"/>
      <c r="B20" s="62" t="str">
        <f ca="1">B2</f>
        <v>SEMAINE 16</v>
      </c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3"/>
    </row>
    <row r="21" spans="1:29" x14ac:dyDescent="0.3">
      <c r="A21" s="23"/>
      <c r="B21" s="64" t="s">
        <v>1</v>
      </c>
      <c r="C21" s="65"/>
      <c r="D21" s="64" t="s">
        <v>2</v>
      </c>
      <c r="E21" s="65"/>
      <c r="F21" s="64" t="s">
        <v>3</v>
      </c>
      <c r="G21" s="65"/>
      <c r="H21" s="64" t="s">
        <v>4</v>
      </c>
      <c r="I21" s="65"/>
      <c r="J21" s="64" t="s">
        <v>5</v>
      </c>
      <c r="K21" s="65"/>
      <c r="L21" s="64" t="s">
        <v>6</v>
      </c>
      <c r="M21" s="65"/>
      <c r="N21" s="64" t="s">
        <v>7</v>
      </c>
      <c r="O21" s="65"/>
      <c r="P21" s="24" t="s">
        <v>8</v>
      </c>
    </row>
    <row r="22" spans="1:29" x14ac:dyDescent="0.3">
      <c r="A22" s="26"/>
      <c r="B22" s="58">
        <f>B4</f>
        <v>46132</v>
      </c>
      <c r="C22" s="59"/>
      <c r="D22" s="58">
        <f>D4</f>
        <v>46133</v>
      </c>
      <c r="E22" s="59"/>
      <c r="F22" s="58">
        <f>F4</f>
        <v>46134</v>
      </c>
      <c r="G22" s="59"/>
      <c r="H22" s="58">
        <f>H4</f>
        <v>46135</v>
      </c>
      <c r="I22" s="59"/>
      <c r="J22" s="58">
        <f>J4</f>
        <v>46136</v>
      </c>
      <c r="K22" s="59"/>
      <c r="L22" s="58">
        <f>L4</f>
        <v>46137</v>
      </c>
      <c r="M22" s="59"/>
      <c r="N22" s="58">
        <f>N4</f>
        <v>46138</v>
      </c>
      <c r="O22" s="59"/>
      <c r="P22" s="27"/>
    </row>
    <row r="23" spans="1:29" x14ac:dyDescent="0.3">
      <c r="A23" s="28" t="s">
        <v>9</v>
      </c>
      <c r="B23" s="58"/>
      <c r="C23" s="59"/>
      <c r="D23" s="58"/>
      <c r="E23" s="59"/>
      <c r="F23" s="58"/>
      <c r="G23" s="59"/>
      <c r="H23" s="58"/>
      <c r="I23" s="59"/>
      <c r="J23" s="58"/>
      <c r="K23" s="59"/>
      <c r="L23" s="58"/>
      <c r="M23" s="59"/>
      <c r="N23" s="58"/>
      <c r="O23" s="59"/>
      <c r="P23" s="27"/>
    </row>
    <row r="24" spans="1:29" x14ac:dyDescent="0.3">
      <c r="A24" s="29" t="s">
        <v>10</v>
      </c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1"/>
      <c r="M24" s="31"/>
      <c r="N24" s="31"/>
      <c r="O24" s="31"/>
      <c r="P24" s="32"/>
    </row>
    <row r="25" spans="1:29" x14ac:dyDescent="0.3">
      <c r="A25" s="33" t="s">
        <v>12</v>
      </c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1"/>
      <c r="M25" s="31"/>
      <c r="N25" s="31"/>
      <c r="O25" s="31"/>
      <c r="P25" s="32"/>
    </row>
    <row r="26" spans="1:29" x14ac:dyDescent="0.3">
      <c r="A26" s="28" t="s">
        <v>36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4"/>
      <c r="M26" s="34"/>
      <c r="N26" s="34"/>
      <c r="O26" s="34"/>
      <c r="P26" s="32"/>
    </row>
    <row r="27" spans="1:29" x14ac:dyDescent="0.3">
      <c r="A27" s="28" t="s">
        <v>37</v>
      </c>
      <c r="B27" s="34"/>
      <c r="C27" s="34"/>
      <c r="D27" s="34"/>
      <c r="E27" s="34"/>
      <c r="F27" s="34"/>
      <c r="G27" s="34"/>
      <c r="H27" s="31"/>
      <c r="I27" s="31"/>
      <c r="J27" s="31"/>
      <c r="K27" s="31"/>
      <c r="L27" s="34"/>
      <c r="M27" s="34"/>
      <c r="N27" s="34"/>
      <c r="O27" s="34"/>
      <c r="P27" s="32"/>
    </row>
    <row r="28" spans="1:29" x14ac:dyDescent="0.3">
      <c r="A28" s="28" t="s">
        <v>42</v>
      </c>
      <c r="B28" s="34"/>
      <c r="C28" s="34"/>
      <c r="D28" s="34"/>
      <c r="E28" s="34"/>
      <c r="F28" s="31"/>
      <c r="G28" s="31"/>
      <c r="H28" s="31"/>
      <c r="I28" s="31"/>
      <c r="J28" s="34"/>
      <c r="K28" s="34"/>
      <c r="L28" s="34"/>
      <c r="M28" s="34"/>
      <c r="N28" s="34"/>
      <c r="O28" s="34"/>
      <c r="P28" s="32"/>
    </row>
    <row r="29" spans="1:29" x14ac:dyDescent="0.3">
      <c r="A29" s="28" t="s">
        <v>14</v>
      </c>
      <c r="B29" s="34"/>
      <c r="C29" s="34"/>
      <c r="D29" s="31"/>
      <c r="E29" s="31"/>
      <c r="F29" s="31"/>
      <c r="G29" s="31"/>
      <c r="H29" s="34"/>
      <c r="I29" s="34"/>
      <c r="J29" s="34"/>
      <c r="K29" s="34"/>
      <c r="L29" s="34"/>
      <c r="M29" s="34"/>
      <c r="N29" s="34"/>
      <c r="O29" s="34"/>
      <c r="P29" s="32"/>
    </row>
    <row r="30" spans="1:29" x14ac:dyDescent="0.3">
      <c r="A30" s="35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</row>
    <row r="31" spans="1:29" x14ac:dyDescent="0.3">
      <c r="A31" s="29" t="s">
        <v>16</v>
      </c>
      <c r="B31" s="31"/>
      <c r="C31" s="31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1"/>
      <c r="O31" s="31"/>
      <c r="P31" s="38"/>
    </row>
    <row r="32" spans="1:29" x14ac:dyDescent="0.3">
      <c r="A32" s="29" t="s">
        <v>17</v>
      </c>
      <c r="B32" s="37"/>
      <c r="C32" s="37"/>
      <c r="D32" s="31"/>
      <c r="E32" s="31"/>
      <c r="F32" s="31"/>
      <c r="G32" s="31"/>
      <c r="H32" s="37"/>
      <c r="I32" s="37"/>
      <c r="J32" s="37"/>
      <c r="K32" s="37"/>
      <c r="L32" s="37"/>
      <c r="M32" s="37"/>
      <c r="N32" s="37"/>
      <c r="O32" s="37"/>
      <c r="P32" s="38"/>
    </row>
    <row r="33" spans="1:16" x14ac:dyDescent="0.3">
      <c r="A33" s="29" t="s">
        <v>21</v>
      </c>
      <c r="B33" s="39"/>
      <c r="C33" s="39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1"/>
      <c r="O33" s="31"/>
      <c r="P33" s="38"/>
    </row>
    <row r="34" spans="1:16" x14ac:dyDescent="0.3">
      <c r="A34" s="40" t="s">
        <v>18</v>
      </c>
      <c r="B34" s="37"/>
      <c r="C34" s="37"/>
      <c r="D34" s="37"/>
      <c r="E34" s="37"/>
      <c r="F34" s="37"/>
      <c r="G34" s="37"/>
      <c r="H34" s="39"/>
      <c r="I34" s="39"/>
      <c r="J34" s="39"/>
      <c r="K34" s="39"/>
      <c r="L34" s="37"/>
      <c r="M34" s="37"/>
      <c r="N34" s="37"/>
      <c r="O34" s="37"/>
      <c r="P34" s="38"/>
    </row>
    <row r="35" spans="1:16" x14ac:dyDescent="0.3">
      <c r="A35" s="28" t="s">
        <v>26</v>
      </c>
      <c r="B35" s="37"/>
      <c r="C35" s="37"/>
      <c r="D35" s="31"/>
      <c r="E35" s="31"/>
      <c r="F35" s="31"/>
      <c r="G35" s="31"/>
      <c r="H35" s="37"/>
      <c r="I35" s="37"/>
      <c r="J35" s="37"/>
      <c r="K35" s="37"/>
      <c r="L35" s="37"/>
      <c r="M35" s="37"/>
      <c r="N35" s="37"/>
      <c r="O35" s="37"/>
      <c r="P35" s="38"/>
    </row>
    <row r="36" spans="1:16" x14ac:dyDescent="0.3">
      <c r="A36" s="28" t="s">
        <v>45</v>
      </c>
      <c r="B36" s="31"/>
      <c r="C36" s="31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1"/>
      <c r="O36" s="31"/>
      <c r="P36" s="38"/>
    </row>
  </sheetData>
  <mergeCells count="46">
    <mergeCell ref="B1:P1"/>
    <mergeCell ref="B2:P2"/>
    <mergeCell ref="B3:C3"/>
    <mergeCell ref="D3:E3"/>
    <mergeCell ref="F3:G3"/>
    <mergeCell ref="H3:I3"/>
    <mergeCell ref="J3:K3"/>
    <mergeCell ref="L3:M3"/>
    <mergeCell ref="N3:O3"/>
    <mergeCell ref="N4:O4"/>
    <mergeCell ref="B5:C5"/>
    <mergeCell ref="D5:E5"/>
    <mergeCell ref="F5:G5"/>
    <mergeCell ref="H5:I5"/>
    <mergeCell ref="J5:K5"/>
    <mergeCell ref="L5:M5"/>
    <mergeCell ref="N5:O5"/>
    <mergeCell ref="B4:C4"/>
    <mergeCell ref="D4:E4"/>
    <mergeCell ref="F4:G4"/>
    <mergeCell ref="H4:I4"/>
    <mergeCell ref="J4:K4"/>
    <mergeCell ref="L4:M4"/>
    <mergeCell ref="B19:P19"/>
    <mergeCell ref="B20:P20"/>
    <mergeCell ref="B21:C21"/>
    <mergeCell ref="D21:E21"/>
    <mergeCell ref="F21:G21"/>
    <mergeCell ref="H21:I21"/>
    <mergeCell ref="J21:K21"/>
    <mergeCell ref="L21:M21"/>
    <mergeCell ref="N21:O21"/>
    <mergeCell ref="N22:O22"/>
    <mergeCell ref="B23:C23"/>
    <mergeCell ref="D23:E23"/>
    <mergeCell ref="F23:G23"/>
    <mergeCell ref="H23:I23"/>
    <mergeCell ref="J23:K23"/>
    <mergeCell ref="L23:M23"/>
    <mergeCell ref="N23:O23"/>
    <mergeCell ref="B22:C22"/>
    <mergeCell ref="D22:E22"/>
    <mergeCell ref="F22:G22"/>
    <mergeCell ref="H22:I22"/>
    <mergeCell ref="J22:K22"/>
    <mergeCell ref="L22:M22"/>
  </mergeCells>
  <pageMargins left="0.7" right="0.7" top="0.75" bottom="0.75" header="0.3" footer="0.3"/>
  <pageSetup paperSize="9" scale="3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75FF4-8D51-48F2-B784-0A037F452D4D}">
  <sheetPr>
    <pageSetUpPr fitToPage="1"/>
  </sheetPr>
  <dimension ref="A1:AC38"/>
  <sheetViews>
    <sheetView topLeftCell="A4" workbookViewId="0">
      <selection sqref="A1:P38"/>
    </sheetView>
  </sheetViews>
  <sheetFormatPr baseColWidth="10" defaultRowHeight="14.4" x14ac:dyDescent="0.3"/>
  <sheetData>
    <row r="1" spans="1:29" ht="15" thickBot="1" x14ac:dyDescent="0.35">
      <c r="A1" s="1" cm="1">
        <f t="array" aca="1" ref="A1" ca="1">A1:P35</f>
        <v>0</v>
      </c>
      <c r="B1" s="62" t="s">
        <v>0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3"/>
    </row>
    <row r="2" spans="1:29" ht="15" thickBot="1" x14ac:dyDescent="0.35">
      <c r="A2" s="22"/>
      <c r="B2" s="62" t="str">
        <f ca="1">"SEMAINE "&amp;_xlfn.SHEET()</f>
        <v>SEMAINE 17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3"/>
    </row>
    <row r="3" spans="1:29" x14ac:dyDescent="0.3">
      <c r="A3" s="23"/>
      <c r="B3" s="64" t="s">
        <v>1</v>
      </c>
      <c r="C3" s="65"/>
      <c r="D3" s="64" t="s">
        <v>2</v>
      </c>
      <c r="E3" s="65"/>
      <c r="F3" s="64" t="s">
        <v>3</v>
      </c>
      <c r="G3" s="65"/>
      <c r="H3" s="64" t="s">
        <v>4</v>
      </c>
      <c r="I3" s="65"/>
      <c r="J3" s="64" t="s">
        <v>5</v>
      </c>
      <c r="K3" s="65"/>
      <c r="L3" s="64" t="s">
        <v>6</v>
      </c>
      <c r="M3" s="65"/>
      <c r="N3" s="64" t="s">
        <v>7</v>
      </c>
      <c r="O3" s="65"/>
      <c r="P3" s="24" t="s">
        <v>8</v>
      </c>
      <c r="W3" s="25" t="e">
        <f t="shared" ref="W3:W20" si="0">C3-B3</f>
        <v>#VALUE!</v>
      </c>
      <c r="X3" s="25" t="e">
        <f t="shared" ref="X3:X20" si="1">E3-D3</f>
        <v>#VALUE!</v>
      </c>
      <c r="Y3" s="25" t="e">
        <f t="shared" ref="Y3:Y20" si="2">G3-F3</f>
        <v>#VALUE!</v>
      </c>
      <c r="Z3" s="25" t="e">
        <f t="shared" ref="Z3:Z20" si="3">I3-H3</f>
        <v>#VALUE!</v>
      </c>
      <c r="AA3" s="25" t="e">
        <f t="shared" ref="AA3:AA20" si="4">K3-J3</f>
        <v>#VALUE!</v>
      </c>
      <c r="AB3" s="25" t="e">
        <f t="shared" ref="AB3:AB20" si="5">M3-L3</f>
        <v>#VALUE!</v>
      </c>
      <c r="AC3" s="25" t="e">
        <f t="shared" ref="AC3:AC20" si="6">O3-N3</f>
        <v>#VALUE!</v>
      </c>
    </row>
    <row r="4" spans="1:29" x14ac:dyDescent="0.3">
      <c r="A4" s="26"/>
      <c r="B4" s="66">
        <v>46132</v>
      </c>
      <c r="C4" s="66"/>
      <c r="D4" s="66">
        <v>46133</v>
      </c>
      <c r="E4" s="66"/>
      <c r="F4" s="66">
        <v>46134</v>
      </c>
      <c r="G4" s="66"/>
      <c r="H4" s="66">
        <v>46135</v>
      </c>
      <c r="I4" s="66"/>
      <c r="J4" s="66">
        <v>46136</v>
      </c>
      <c r="K4" s="66"/>
      <c r="L4" s="66">
        <v>46137</v>
      </c>
      <c r="M4" s="66"/>
      <c r="N4" s="66">
        <v>46138</v>
      </c>
      <c r="O4" s="66"/>
      <c r="P4" s="27"/>
      <c r="W4" s="25">
        <f t="shared" si="0"/>
        <v>-46132</v>
      </c>
      <c r="X4" s="25">
        <f t="shared" si="1"/>
        <v>-46133</v>
      </c>
      <c r="Y4" s="25">
        <f t="shared" si="2"/>
        <v>-46134</v>
      </c>
      <c r="Z4" s="25">
        <f t="shared" si="3"/>
        <v>-46135</v>
      </c>
      <c r="AA4" s="25">
        <f t="shared" si="4"/>
        <v>-46136</v>
      </c>
      <c r="AB4" s="25">
        <f t="shared" si="5"/>
        <v>-46137</v>
      </c>
      <c r="AC4" s="25">
        <f t="shared" si="6"/>
        <v>-46138</v>
      </c>
    </row>
    <row r="5" spans="1:29" x14ac:dyDescent="0.3">
      <c r="A5" s="28" t="s">
        <v>9</v>
      </c>
      <c r="B5" s="58"/>
      <c r="C5" s="59"/>
      <c r="D5" s="58"/>
      <c r="E5" s="59"/>
      <c r="F5" s="58"/>
      <c r="G5" s="59"/>
      <c r="H5" s="58"/>
      <c r="I5" s="59"/>
      <c r="J5" s="58"/>
      <c r="K5" s="59"/>
      <c r="L5" s="58"/>
      <c r="M5" s="59"/>
      <c r="N5" s="58"/>
      <c r="O5" s="59"/>
      <c r="P5" s="27"/>
      <c r="W5" s="25">
        <f t="shared" si="0"/>
        <v>0</v>
      </c>
      <c r="X5" s="25">
        <f t="shared" si="1"/>
        <v>0</v>
      </c>
      <c r="Y5" s="25">
        <f t="shared" si="2"/>
        <v>0</v>
      </c>
      <c r="Z5" s="25">
        <f t="shared" si="3"/>
        <v>0</v>
      </c>
      <c r="AA5" s="25">
        <f t="shared" si="4"/>
        <v>0</v>
      </c>
      <c r="AB5" s="25">
        <f t="shared" si="5"/>
        <v>0</v>
      </c>
      <c r="AC5" s="25">
        <f t="shared" si="6"/>
        <v>0</v>
      </c>
    </row>
    <row r="6" spans="1:29" x14ac:dyDescent="0.3">
      <c r="A6" s="29" t="s">
        <v>10</v>
      </c>
      <c r="B6" s="30">
        <v>0.41666666666666669</v>
      </c>
      <c r="C6" s="30">
        <v>0.70833333333333337</v>
      </c>
      <c r="D6" s="30">
        <v>0.39583333333333331</v>
      </c>
      <c r="E6" s="30">
        <v>0.72916666666666663</v>
      </c>
      <c r="F6" s="30">
        <v>0.375</v>
      </c>
      <c r="G6" s="30">
        <v>0.72916666666666663</v>
      </c>
      <c r="H6" s="30">
        <v>0.41666666666666669</v>
      </c>
      <c r="I6" s="30">
        <v>0.72916666666666663</v>
      </c>
      <c r="J6" s="30">
        <v>0.375</v>
      </c>
      <c r="K6" s="30">
        <v>0.70833333333333337</v>
      </c>
      <c r="L6" s="31"/>
      <c r="M6" s="31"/>
      <c r="N6" s="31"/>
      <c r="O6" s="31"/>
      <c r="P6" s="32">
        <f t="shared" ref="P6:P11" si="7">W6+X6+Y6+Z6+AA6+AB6+AC6</f>
        <v>1.625</v>
      </c>
      <c r="W6" s="25">
        <f t="shared" si="0"/>
        <v>0.29166666666666669</v>
      </c>
      <c r="X6" s="25">
        <f t="shared" si="1"/>
        <v>0.33333333333333331</v>
      </c>
      <c r="Y6" s="25">
        <f t="shared" si="2"/>
        <v>0.35416666666666663</v>
      </c>
      <c r="Z6" s="25">
        <f t="shared" si="3"/>
        <v>0.31249999999999994</v>
      </c>
      <c r="AA6" s="25">
        <f t="shared" si="4"/>
        <v>0.33333333333333337</v>
      </c>
      <c r="AB6" s="25">
        <f t="shared" si="5"/>
        <v>0</v>
      </c>
      <c r="AC6" s="25">
        <f t="shared" si="6"/>
        <v>0</v>
      </c>
    </row>
    <row r="7" spans="1:29" x14ac:dyDescent="0.3">
      <c r="A7" s="33" t="s">
        <v>12</v>
      </c>
      <c r="B7" s="54">
        <v>0.41666666666666669</v>
      </c>
      <c r="C7" s="54">
        <v>0.70833333333333337</v>
      </c>
      <c r="D7" s="54">
        <v>0.41666666666666669</v>
      </c>
      <c r="E7" s="54">
        <v>0.70833333333333337</v>
      </c>
      <c r="F7" s="54">
        <v>0.41666666666666669</v>
      </c>
      <c r="G7" s="54">
        <v>0.70833333333333337</v>
      </c>
      <c r="H7" s="54">
        <v>0.41666666666666669</v>
      </c>
      <c r="I7" s="54">
        <v>0.70833333333333337</v>
      </c>
      <c r="J7" s="54">
        <v>0.41666666666666669</v>
      </c>
      <c r="K7" s="54">
        <v>0.70833333333333337</v>
      </c>
      <c r="L7" s="31"/>
      <c r="M7" s="31"/>
      <c r="N7" s="31"/>
      <c r="O7" s="31"/>
      <c r="P7" s="32">
        <f t="shared" si="7"/>
        <v>1.4583333333333335</v>
      </c>
      <c r="W7" s="25">
        <f t="shared" si="0"/>
        <v>0.29166666666666669</v>
      </c>
      <c r="X7" s="25">
        <f t="shared" si="1"/>
        <v>0.29166666666666669</v>
      </c>
      <c r="Y7" s="25">
        <f t="shared" si="2"/>
        <v>0.29166666666666669</v>
      </c>
      <c r="Z7" s="25">
        <f t="shared" si="3"/>
        <v>0.29166666666666669</v>
      </c>
      <c r="AA7" s="25">
        <f t="shared" si="4"/>
        <v>0.29166666666666669</v>
      </c>
      <c r="AB7" s="25">
        <f t="shared" si="5"/>
        <v>0</v>
      </c>
      <c r="AC7" s="25">
        <f t="shared" si="6"/>
        <v>0</v>
      </c>
    </row>
    <row r="8" spans="1:29" x14ac:dyDescent="0.3">
      <c r="A8" s="28" t="s">
        <v>36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4">
        <v>0.48958333333333331</v>
      </c>
      <c r="M8" s="34">
        <v>0.63541666666666663</v>
      </c>
      <c r="N8" s="34">
        <v>0.48958333333333331</v>
      </c>
      <c r="O8" s="34">
        <v>0.63541666666666663</v>
      </c>
      <c r="P8" s="32">
        <f t="shared" si="7"/>
        <v>0.29166666666666663</v>
      </c>
      <c r="W8" s="25">
        <f t="shared" si="0"/>
        <v>0</v>
      </c>
      <c r="X8" s="25">
        <f t="shared" si="1"/>
        <v>0</v>
      </c>
      <c r="Y8" s="25">
        <f t="shared" si="2"/>
        <v>0</v>
      </c>
      <c r="Z8" s="25">
        <f t="shared" si="3"/>
        <v>0</v>
      </c>
      <c r="AA8" s="25">
        <f t="shared" si="4"/>
        <v>0</v>
      </c>
      <c r="AB8" s="25">
        <f t="shared" si="5"/>
        <v>0.14583333333333331</v>
      </c>
      <c r="AC8" s="25">
        <f t="shared" si="6"/>
        <v>0.14583333333333331</v>
      </c>
    </row>
    <row r="9" spans="1:29" x14ac:dyDescent="0.3">
      <c r="A9" s="28" t="s">
        <v>37</v>
      </c>
      <c r="B9" s="34">
        <v>0.39583333333333331</v>
      </c>
      <c r="C9" s="34">
        <v>0.72916666666666663</v>
      </c>
      <c r="D9" s="34">
        <v>0.39583333333333331</v>
      </c>
      <c r="E9" s="34">
        <v>0.70833333333333337</v>
      </c>
      <c r="F9" s="34">
        <v>0.375</v>
      </c>
      <c r="G9" s="34">
        <v>0.72916666666666663</v>
      </c>
      <c r="H9" s="31"/>
      <c r="I9" s="31"/>
      <c r="J9" s="31"/>
      <c r="K9" s="31"/>
      <c r="L9" s="34">
        <v>0.39583333333333331</v>
      </c>
      <c r="M9" s="34">
        <v>0.70833333333333337</v>
      </c>
      <c r="N9" s="34">
        <v>0.39583333333333331</v>
      </c>
      <c r="O9" s="34">
        <v>0.70833333333333337</v>
      </c>
      <c r="P9" s="32">
        <f t="shared" si="7"/>
        <v>1.625</v>
      </c>
      <c r="W9" s="25">
        <f t="shared" si="0"/>
        <v>0.33333333333333331</v>
      </c>
      <c r="X9" s="25">
        <f t="shared" si="1"/>
        <v>0.31250000000000006</v>
      </c>
      <c r="Y9" s="25">
        <f t="shared" si="2"/>
        <v>0.35416666666666663</v>
      </c>
      <c r="Z9" s="25">
        <f t="shared" si="3"/>
        <v>0</v>
      </c>
      <c r="AA9" s="25">
        <f t="shared" si="4"/>
        <v>0</v>
      </c>
      <c r="AB9" s="25">
        <f t="shared" si="5"/>
        <v>0.31250000000000006</v>
      </c>
      <c r="AC9" s="25">
        <f t="shared" si="6"/>
        <v>0.31250000000000006</v>
      </c>
    </row>
    <row r="10" spans="1:29" x14ac:dyDescent="0.3">
      <c r="A10" s="28" t="s">
        <v>42</v>
      </c>
      <c r="B10" s="34">
        <v>0.39583333333333331</v>
      </c>
      <c r="C10" s="34">
        <v>0.72916666666666663</v>
      </c>
      <c r="D10" s="34">
        <v>0.39583333333333331</v>
      </c>
      <c r="E10" s="34">
        <v>0.70833333333333337</v>
      </c>
      <c r="F10" s="31"/>
      <c r="G10" s="31"/>
      <c r="H10" s="31"/>
      <c r="I10" s="31"/>
      <c r="J10" s="34">
        <v>0.39583333333333331</v>
      </c>
      <c r="K10" s="34">
        <v>0.72916666666666663</v>
      </c>
      <c r="L10" s="34">
        <v>0.39583333333333331</v>
      </c>
      <c r="M10" s="34">
        <v>0.72916666666666663</v>
      </c>
      <c r="N10" s="34">
        <v>0.39583333333333331</v>
      </c>
      <c r="O10" s="34">
        <v>0.70833333333333337</v>
      </c>
      <c r="P10" s="32">
        <f t="shared" si="7"/>
        <v>1.625</v>
      </c>
      <c r="W10" s="25">
        <f t="shared" si="0"/>
        <v>0.33333333333333331</v>
      </c>
      <c r="X10" s="25">
        <f t="shared" si="1"/>
        <v>0.31250000000000006</v>
      </c>
      <c r="Y10" s="25">
        <f t="shared" si="2"/>
        <v>0</v>
      </c>
      <c r="Z10" s="25">
        <f t="shared" si="3"/>
        <v>0</v>
      </c>
      <c r="AA10" s="25">
        <f t="shared" si="4"/>
        <v>0.33333333333333331</v>
      </c>
      <c r="AB10" s="25">
        <f t="shared" si="5"/>
        <v>0.33333333333333331</v>
      </c>
      <c r="AC10" s="25">
        <f t="shared" si="6"/>
        <v>0.31250000000000006</v>
      </c>
    </row>
    <row r="11" spans="1:29" x14ac:dyDescent="0.3">
      <c r="A11" s="28" t="s">
        <v>14</v>
      </c>
      <c r="B11" s="34">
        <v>0.39583333333333331</v>
      </c>
      <c r="C11" s="34">
        <v>0.70833333333333337</v>
      </c>
      <c r="D11" s="31"/>
      <c r="E11" s="31"/>
      <c r="F11" s="31"/>
      <c r="G11" s="31"/>
      <c r="H11" s="34">
        <v>0.39583333333333331</v>
      </c>
      <c r="I11" s="34">
        <v>0.72916666666666663</v>
      </c>
      <c r="J11" s="34">
        <v>0.375</v>
      </c>
      <c r="K11" s="34">
        <v>0.70833333333333337</v>
      </c>
      <c r="L11" s="34">
        <v>0.39583333333333331</v>
      </c>
      <c r="M11" s="34">
        <v>0.72916666666666663</v>
      </c>
      <c r="N11" s="34">
        <v>0.39583333333333331</v>
      </c>
      <c r="O11" s="34">
        <v>0.70833333333333337</v>
      </c>
      <c r="P11" s="32">
        <f t="shared" si="7"/>
        <v>1.625</v>
      </c>
      <c r="W11" s="25">
        <f t="shared" si="0"/>
        <v>0.31250000000000006</v>
      </c>
      <c r="X11" s="25">
        <f t="shared" si="1"/>
        <v>0</v>
      </c>
      <c r="Y11" s="25">
        <f t="shared" si="2"/>
        <v>0</v>
      </c>
      <c r="Z11" s="25">
        <f t="shared" si="3"/>
        <v>0.33333333333333331</v>
      </c>
      <c r="AA11" s="25">
        <f t="shared" si="4"/>
        <v>0.33333333333333337</v>
      </c>
      <c r="AB11" s="25">
        <f t="shared" si="5"/>
        <v>0.33333333333333331</v>
      </c>
      <c r="AC11" s="25">
        <f t="shared" si="6"/>
        <v>0.31250000000000006</v>
      </c>
    </row>
    <row r="12" spans="1:29" x14ac:dyDescent="0.3">
      <c r="A12" s="28" t="s">
        <v>45</v>
      </c>
      <c r="B12" s="31"/>
      <c r="C12" s="31"/>
      <c r="D12" s="14">
        <v>0.41666666666666669</v>
      </c>
      <c r="E12" s="14">
        <v>0.70833333333333337</v>
      </c>
      <c r="F12" s="14">
        <v>0.375</v>
      </c>
      <c r="G12" s="14">
        <v>0.75</v>
      </c>
      <c r="H12" s="14">
        <v>0.39583333333333331</v>
      </c>
      <c r="I12" s="14">
        <v>0.72916666666666663</v>
      </c>
      <c r="J12" s="14">
        <v>0.375</v>
      </c>
      <c r="K12" s="14">
        <v>0.70833333333333337</v>
      </c>
      <c r="L12" s="14">
        <v>0.41666666666666669</v>
      </c>
      <c r="M12" s="14">
        <v>0.70833333333333337</v>
      </c>
      <c r="N12" s="31"/>
      <c r="O12" s="31"/>
      <c r="P12" s="38">
        <f>W12+X12+Y12+Z12+AA12+AB12+AC12</f>
        <v>1.6250000000000002</v>
      </c>
      <c r="W12" s="25">
        <f t="shared" ref="W12" si="8">C12-B12</f>
        <v>0</v>
      </c>
      <c r="X12" s="25">
        <f t="shared" ref="X12" si="9">E12-D12</f>
        <v>0.29166666666666669</v>
      </c>
      <c r="Y12" s="25">
        <f t="shared" ref="Y12" si="10">G12-F12</f>
        <v>0.375</v>
      </c>
      <c r="Z12" s="25">
        <f t="shared" ref="Z12" si="11">I12-H12</f>
        <v>0.33333333333333331</v>
      </c>
      <c r="AA12" s="25">
        <f t="shared" ref="AA12" si="12">K12-J12</f>
        <v>0.33333333333333337</v>
      </c>
      <c r="AB12" s="25">
        <f t="shared" ref="AB12" si="13">M12-L12</f>
        <v>0.29166666666666669</v>
      </c>
      <c r="AC12" s="25">
        <f t="shared" ref="AC12" si="14">O12-N12</f>
        <v>0</v>
      </c>
    </row>
    <row r="13" spans="1:29" x14ac:dyDescent="0.3">
      <c r="A13" s="35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51"/>
      <c r="W13" s="25">
        <f t="shared" si="0"/>
        <v>0</v>
      </c>
      <c r="X13" s="25">
        <f t="shared" si="1"/>
        <v>0</v>
      </c>
      <c r="Y13" s="25">
        <f t="shared" si="2"/>
        <v>0</v>
      </c>
      <c r="Z13" s="25">
        <f t="shared" si="3"/>
        <v>0</v>
      </c>
      <c r="AA13" s="25">
        <f t="shared" si="4"/>
        <v>0</v>
      </c>
      <c r="AB13" s="25">
        <f t="shared" si="5"/>
        <v>0</v>
      </c>
      <c r="AC13" s="25">
        <f t="shared" si="6"/>
        <v>0</v>
      </c>
    </row>
    <row r="14" spans="1:29" x14ac:dyDescent="0.3">
      <c r="A14" s="29" t="s">
        <v>16</v>
      </c>
      <c r="B14" s="31"/>
      <c r="C14" s="31"/>
      <c r="D14" s="37">
        <v>0.70833333333333337</v>
      </c>
      <c r="E14" s="37">
        <v>1.0625</v>
      </c>
      <c r="F14" s="37">
        <v>0.72916666666666663</v>
      </c>
      <c r="G14" s="37">
        <v>1.0625</v>
      </c>
      <c r="H14" s="37">
        <v>0.70833333333333304</v>
      </c>
      <c r="I14" s="37">
        <v>1.0625</v>
      </c>
      <c r="J14" s="37">
        <v>0.70833333333333304</v>
      </c>
      <c r="K14" s="37">
        <v>1.0625</v>
      </c>
      <c r="L14" s="37">
        <v>0.70833333333333304</v>
      </c>
      <c r="M14" s="37">
        <v>1.0625</v>
      </c>
      <c r="N14" s="31"/>
      <c r="O14" s="31"/>
      <c r="P14" s="38">
        <f t="shared" ref="P14:P18" si="15">W14+X14+Y14+Z14+AA14+AB14+AC14</f>
        <v>1.7500000000000009</v>
      </c>
      <c r="W14" s="25">
        <f t="shared" si="0"/>
        <v>0</v>
      </c>
      <c r="X14" s="25">
        <f t="shared" si="1"/>
        <v>0.35416666666666663</v>
      </c>
      <c r="Y14" s="25">
        <f t="shared" si="2"/>
        <v>0.33333333333333337</v>
      </c>
      <c r="Z14" s="25">
        <f t="shared" si="3"/>
        <v>0.35416666666666696</v>
      </c>
      <c r="AA14" s="25">
        <f t="shared" si="4"/>
        <v>0.35416666666666696</v>
      </c>
      <c r="AB14" s="25">
        <f t="shared" si="5"/>
        <v>0.35416666666666696</v>
      </c>
      <c r="AC14" s="25">
        <f t="shared" si="6"/>
        <v>0</v>
      </c>
    </row>
    <row r="15" spans="1:29" x14ac:dyDescent="0.3">
      <c r="A15" s="29" t="s">
        <v>17</v>
      </c>
      <c r="B15" s="37">
        <v>0.70833333333333337</v>
      </c>
      <c r="C15" s="37">
        <v>1.0208333333333299</v>
      </c>
      <c r="D15" s="31"/>
      <c r="E15" s="31"/>
      <c r="F15" s="31"/>
      <c r="G15" s="31"/>
      <c r="H15" s="37">
        <v>0.70833333333333337</v>
      </c>
      <c r="I15" s="37">
        <v>1.0625</v>
      </c>
      <c r="J15" s="37">
        <v>0.70833333333333304</v>
      </c>
      <c r="K15" s="37">
        <v>1.0625</v>
      </c>
      <c r="L15" s="37">
        <v>0.6875</v>
      </c>
      <c r="M15" s="37">
        <v>1.0625</v>
      </c>
      <c r="N15" s="37">
        <v>0.66666666666666663</v>
      </c>
      <c r="O15" s="37">
        <v>1.0208333333333333</v>
      </c>
      <c r="P15" s="38">
        <f t="shared" si="15"/>
        <v>1.7499999999999969</v>
      </c>
      <c r="W15" s="25">
        <f t="shared" si="0"/>
        <v>0.31249999999999656</v>
      </c>
      <c r="X15" s="25">
        <f>E15-D15</f>
        <v>0</v>
      </c>
      <c r="Y15" s="25">
        <f t="shared" si="2"/>
        <v>0</v>
      </c>
      <c r="Z15" s="25">
        <f t="shared" si="3"/>
        <v>0.35416666666666663</v>
      </c>
      <c r="AA15" s="25">
        <f t="shared" si="4"/>
        <v>0.35416666666666696</v>
      </c>
      <c r="AB15" s="25">
        <f t="shared" si="5"/>
        <v>0.375</v>
      </c>
      <c r="AC15" s="25">
        <f t="shared" si="6"/>
        <v>0.35416666666666663</v>
      </c>
    </row>
    <row r="16" spans="1:29" x14ac:dyDescent="0.3">
      <c r="A16" s="29" t="s">
        <v>21</v>
      </c>
      <c r="B16" s="39"/>
      <c r="C16" s="39"/>
      <c r="D16" s="37">
        <v>0.70833333333333337</v>
      </c>
      <c r="E16" s="37">
        <v>1.0625</v>
      </c>
      <c r="F16" s="37">
        <v>0.70833333333333337</v>
      </c>
      <c r="G16" s="37">
        <v>1.0625</v>
      </c>
      <c r="H16" s="37">
        <v>0.72916666666666663</v>
      </c>
      <c r="I16" s="37">
        <v>1.0625</v>
      </c>
      <c r="J16" s="37">
        <v>0.70833333333333337</v>
      </c>
      <c r="K16" s="37">
        <v>1.0625</v>
      </c>
      <c r="L16" s="37">
        <v>0.70833333333333337</v>
      </c>
      <c r="M16" s="37">
        <v>1.0625</v>
      </c>
      <c r="N16" s="31"/>
      <c r="O16" s="31"/>
      <c r="P16" s="38">
        <f t="shared" si="15"/>
        <v>1.7499999999999996</v>
      </c>
      <c r="W16" s="25">
        <f t="shared" si="0"/>
        <v>0</v>
      </c>
      <c r="X16" s="25">
        <f t="shared" si="1"/>
        <v>0.35416666666666663</v>
      </c>
      <c r="Y16" s="25">
        <f t="shared" si="2"/>
        <v>0.35416666666666663</v>
      </c>
      <c r="Z16" s="25">
        <f t="shared" si="3"/>
        <v>0.33333333333333337</v>
      </c>
      <c r="AA16" s="25">
        <f t="shared" si="4"/>
        <v>0.35416666666666663</v>
      </c>
      <c r="AB16" s="25">
        <f t="shared" si="5"/>
        <v>0.35416666666666663</v>
      </c>
      <c r="AC16" s="25">
        <f t="shared" si="6"/>
        <v>0</v>
      </c>
    </row>
    <row r="17" spans="1:29" x14ac:dyDescent="0.3">
      <c r="A17" s="40" t="s">
        <v>18</v>
      </c>
      <c r="B17" s="37">
        <v>0.72916666666666663</v>
      </c>
      <c r="C17" s="37">
        <v>1.0208333333333299</v>
      </c>
      <c r="D17" s="37">
        <v>0.70833333333333337</v>
      </c>
      <c r="E17" s="37">
        <v>1.0625</v>
      </c>
      <c r="F17" s="37">
        <v>0.75</v>
      </c>
      <c r="G17" s="37">
        <v>1.0625</v>
      </c>
      <c r="H17" s="39"/>
      <c r="I17" s="39"/>
      <c r="J17" s="39"/>
      <c r="K17" s="39"/>
      <c r="L17" s="37">
        <v>0.70833333333333337</v>
      </c>
      <c r="M17" s="37">
        <v>1.0625</v>
      </c>
      <c r="N17" s="37">
        <v>0.70833333333333337</v>
      </c>
      <c r="O17" s="37">
        <v>1.0208333333333333</v>
      </c>
      <c r="P17" s="38">
        <f t="shared" si="15"/>
        <v>1.6249999999999964</v>
      </c>
      <c r="W17" s="25">
        <f t="shared" si="0"/>
        <v>0.2916666666666633</v>
      </c>
      <c r="X17" s="25">
        <f t="shared" si="1"/>
        <v>0.35416666666666663</v>
      </c>
      <c r="Y17" s="25">
        <f t="shared" si="2"/>
        <v>0.3125</v>
      </c>
      <c r="Z17" s="25">
        <f t="shared" si="3"/>
        <v>0</v>
      </c>
      <c r="AA17" s="25">
        <f t="shared" si="4"/>
        <v>0</v>
      </c>
      <c r="AB17" s="25">
        <f t="shared" si="5"/>
        <v>0.35416666666666663</v>
      </c>
      <c r="AC17" s="25">
        <f t="shared" si="6"/>
        <v>0.31249999999999989</v>
      </c>
    </row>
    <row r="18" spans="1:29" x14ac:dyDescent="0.3">
      <c r="A18" s="28" t="s">
        <v>26</v>
      </c>
      <c r="B18" s="37">
        <v>0.72916666666666663</v>
      </c>
      <c r="C18" s="37">
        <v>1.0208333333333333</v>
      </c>
      <c r="D18" s="31"/>
      <c r="E18" s="31"/>
      <c r="F18" s="31"/>
      <c r="G18" s="31"/>
      <c r="H18" s="37">
        <v>0.75</v>
      </c>
      <c r="I18" s="37">
        <v>1.0625</v>
      </c>
      <c r="J18" s="37">
        <v>0.75</v>
      </c>
      <c r="K18" s="37">
        <v>1.0625</v>
      </c>
      <c r="L18" s="37">
        <v>0.70833333333333337</v>
      </c>
      <c r="M18" s="37">
        <v>1.0625</v>
      </c>
      <c r="N18" s="37">
        <v>0.66666666666666663</v>
      </c>
      <c r="O18" s="37">
        <v>1.0208333333333333</v>
      </c>
      <c r="P18" s="38">
        <f t="shared" si="15"/>
        <v>1.625</v>
      </c>
      <c r="W18" s="25">
        <f t="shared" si="0"/>
        <v>0.29166666666666663</v>
      </c>
      <c r="X18" s="25">
        <f t="shared" si="1"/>
        <v>0</v>
      </c>
      <c r="Y18" s="25">
        <f t="shared" si="2"/>
        <v>0</v>
      </c>
      <c r="Z18" s="25">
        <f t="shared" si="3"/>
        <v>0.3125</v>
      </c>
      <c r="AA18" s="25">
        <f t="shared" si="4"/>
        <v>0.3125</v>
      </c>
      <c r="AB18" s="25">
        <f t="shared" si="5"/>
        <v>0.35416666666666663</v>
      </c>
      <c r="AC18" s="25">
        <f t="shared" si="6"/>
        <v>0.35416666666666663</v>
      </c>
    </row>
    <row r="19" spans="1:29" x14ac:dyDescent="0.3">
      <c r="A19" s="40" t="s">
        <v>46</v>
      </c>
      <c r="B19" s="37">
        <v>0.72916666666666663</v>
      </c>
      <c r="C19" s="37">
        <v>1.0208333333333299</v>
      </c>
      <c r="D19" s="37">
        <v>0.72916666666666663</v>
      </c>
      <c r="E19" s="37">
        <v>1.0625</v>
      </c>
      <c r="F19" s="37">
        <v>0.72916666666666663</v>
      </c>
      <c r="G19" s="37">
        <v>1.0625</v>
      </c>
      <c r="H19" s="39"/>
      <c r="I19" s="39"/>
      <c r="J19" s="39"/>
      <c r="K19" s="39"/>
      <c r="L19" s="37">
        <v>0.70833333333333337</v>
      </c>
      <c r="M19" s="37">
        <v>1.0625</v>
      </c>
      <c r="N19" s="37">
        <v>0.70833333333333337</v>
      </c>
      <c r="O19" s="37">
        <v>1.0208333333333333</v>
      </c>
      <c r="P19" s="38">
        <f t="shared" ref="P19" si="16">W19+X19+Y19+Z19+AA19+AB19+AC19</f>
        <v>1.6249999999999964</v>
      </c>
      <c r="W19" s="25">
        <f t="shared" si="0"/>
        <v>0.2916666666666633</v>
      </c>
      <c r="X19" s="25">
        <f t="shared" si="1"/>
        <v>0.33333333333333337</v>
      </c>
      <c r="Y19" s="25">
        <f t="shared" si="2"/>
        <v>0.33333333333333337</v>
      </c>
      <c r="Z19" s="25">
        <f t="shared" si="3"/>
        <v>0</v>
      </c>
      <c r="AA19" s="25">
        <f t="shared" si="4"/>
        <v>0</v>
      </c>
      <c r="AB19" s="25">
        <f t="shared" si="5"/>
        <v>0.35416666666666663</v>
      </c>
      <c r="AC19" s="25">
        <f t="shared" si="6"/>
        <v>0.31249999999999989</v>
      </c>
    </row>
    <row r="20" spans="1:29" ht="15" thickBot="1" x14ac:dyDescent="0.35">
      <c r="A20" s="52" t="e" cm="1">
        <f t="array" ref="A20">+A20:PA20:P+A20:P363628A1:P2A1:P47</f>
        <v>#NAME?</v>
      </c>
      <c r="B20" s="60" t="s">
        <v>0</v>
      </c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1"/>
      <c r="W20" s="25" t="e">
        <f t="shared" si="0"/>
        <v>#VALUE!</v>
      </c>
      <c r="X20" s="25">
        <f t="shared" si="1"/>
        <v>0</v>
      </c>
      <c r="Y20" s="25">
        <f t="shared" si="2"/>
        <v>0</v>
      </c>
      <c r="Z20" s="25">
        <f t="shared" si="3"/>
        <v>0</v>
      </c>
      <c r="AA20" s="25">
        <f t="shared" si="4"/>
        <v>0</v>
      </c>
      <c r="AB20" s="25">
        <f t="shared" si="5"/>
        <v>0</v>
      </c>
      <c r="AC20" s="25">
        <f t="shared" si="6"/>
        <v>0</v>
      </c>
    </row>
    <row r="21" spans="1:29" ht="15" thickBot="1" x14ac:dyDescent="0.35">
      <c r="A21" s="53"/>
      <c r="B21" s="62" t="str">
        <f ca="1">B2</f>
        <v>SEMAINE 17</v>
      </c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3"/>
    </row>
    <row r="22" spans="1:29" x14ac:dyDescent="0.3">
      <c r="A22" s="23"/>
      <c r="B22" s="64" t="s">
        <v>1</v>
      </c>
      <c r="C22" s="65"/>
      <c r="D22" s="64" t="s">
        <v>2</v>
      </c>
      <c r="E22" s="65"/>
      <c r="F22" s="64" t="s">
        <v>3</v>
      </c>
      <c r="G22" s="65"/>
      <c r="H22" s="64" t="s">
        <v>4</v>
      </c>
      <c r="I22" s="65"/>
      <c r="J22" s="64" t="s">
        <v>5</v>
      </c>
      <c r="K22" s="65"/>
      <c r="L22" s="64" t="s">
        <v>6</v>
      </c>
      <c r="M22" s="65"/>
      <c r="N22" s="64" t="s">
        <v>7</v>
      </c>
      <c r="O22" s="65"/>
      <c r="P22" s="24" t="s">
        <v>8</v>
      </c>
    </row>
    <row r="23" spans="1:29" x14ac:dyDescent="0.3">
      <c r="A23" s="26"/>
      <c r="B23" s="58">
        <f>B4</f>
        <v>46132</v>
      </c>
      <c r="C23" s="59"/>
      <c r="D23" s="58">
        <f>D4</f>
        <v>46133</v>
      </c>
      <c r="E23" s="59"/>
      <c r="F23" s="58">
        <f>F4</f>
        <v>46134</v>
      </c>
      <c r="G23" s="59"/>
      <c r="H23" s="58">
        <f>H4</f>
        <v>46135</v>
      </c>
      <c r="I23" s="59"/>
      <c r="J23" s="58">
        <f>J4</f>
        <v>46136</v>
      </c>
      <c r="K23" s="59"/>
      <c r="L23" s="58">
        <f>L4</f>
        <v>46137</v>
      </c>
      <c r="M23" s="59"/>
      <c r="N23" s="58">
        <f>N4</f>
        <v>46138</v>
      </c>
      <c r="O23" s="59"/>
      <c r="P23" s="27"/>
    </row>
    <row r="24" spans="1:29" x14ac:dyDescent="0.3">
      <c r="A24" s="28" t="s">
        <v>9</v>
      </c>
      <c r="B24" s="58"/>
      <c r="C24" s="59"/>
      <c r="D24" s="58"/>
      <c r="E24" s="59"/>
      <c r="F24" s="58"/>
      <c r="G24" s="59"/>
      <c r="H24" s="58"/>
      <c r="I24" s="59"/>
      <c r="J24" s="58"/>
      <c r="K24" s="59"/>
      <c r="L24" s="58"/>
      <c r="M24" s="59"/>
      <c r="N24" s="58"/>
      <c r="O24" s="59"/>
      <c r="P24" s="27"/>
    </row>
    <row r="25" spans="1:29" x14ac:dyDescent="0.3">
      <c r="A25" s="29" t="s">
        <v>10</v>
      </c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1"/>
      <c r="M25" s="31"/>
      <c r="N25" s="31"/>
      <c r="O25" s="31"/>
      <c r="P25" s="32"/>
    </row>
    <row r="26" spans="1:29" x14ac:dyDescent="0.3">
      <c r="A26" s="33" t="s">
        <v>12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31"/>
      <c r="M26" s="31"/>
      <c r="N26" s="31"/>
      <c r="O26" s="31"/>
      <c r="P26" s="32"/>
    </row>
    <row r="27" spans="1:29" x14ac:dyDescent="0.3">
      <c r="A27" s="28" t="s">
        <v>36</v>
      </c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4"/>
      <c r="M27" s="34"/>
      <c r="N27" s="34"/>
      <c r="O27" s="34"/>
      <c r="P27" s="32"/>
    </row>
    <row r="28" spans="1:29" x14ac:dyDescent="0.3">
      <c r="A28" s="28" t="s">
        <v>37</v>
      </c>
      <c r="B28" s="34"/>
      <c r="C28" s="34"/>
      <c r="D28" s="34"/>
      <c r="E28" s="34"/>
      <c r="F28" s="34"/>
      <c r="G28" s="34"/>
      <c r="H28" s="31"/>
      <c r="I28" s="31"/>
      <c r="J28" s="31"/>
      <c r="K28" s="31"/>
      <c r="L28" s="34"/>
      <c r="M28" s="34"/>
      <c r="N28" s="34"/>
      <c r="O28" s="34"/>
      <c r="P28" s="32"/>
    </row>
    <row r="29" spans="1:29" x14ac:dyDescent="0.3">
      <c r="A29" s="28" t="s">
        <v>42</v>
      </c>
      <c r="B29" s="34"/>
      <c r="C29" s="34"/>
      <c r="D29" s="34"/>
      <c r="E29" s="34"/>
      <c r="F29" s="31"/>
      <c r="G29" s="31"/>
      <c r="H29" s="31"/>
      <c r="I29" s="31"/>
      <c r="J29" s="34"/>
      <c r="K29" s="34"/>
      <c r="L29" s="34"/>
      <c r="M29" s="34"/>
      <c r="N29" s="34"/>
      <c r="O29" s="34"/>
      <c r="P29" s="32"/>
    </row>
    <row r="30" spans="1:29" x14ac:dyDescent="0.3">
      <c r="A30" s="28" t="s">
        <v>14</v>
      </c>
      <c r="B30" s="34"/>
      <c r="C30" s="34"/>
      <c r="D30" s="31"/>
      <c r="E30" s="31"/>
      <c r="F30" s="31"/>
      <c r="G30" s="31"/>
      <c r="H30" s="34"/>
      <c r="I30" s="34"/>
      <c r="J30" s="34"/>
      <c r="K30" s="34"/>
      <c r="L30" s="34"/>
      <c r="M30" s="34"/>
      <c r="N30" s="34"/>
      <c r="O30" s="34"/>
      <c r="P30" s="32"/>
    </row>
    <row r="31" spans="1:29" x14ac:dyDescent="0.3">
      <c r="A31" s="28" t="s">
        <v>45</v>
      </c>
      <c r="B31" s="31"/>
      <c r="C31" s="31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31"/>
      <c r="O31" s="31"/>
      <c r="P31" s="38"/>
    </row>
    <row r="32" spans="1:29" x14ac:dyDescent="0.3">
      <c r="A32" s="35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51"/>
    </row>
    <row r="33" spans="1:16" x14ac:dyDescent="0.3">
      <c r="A33" s="29" t="s">
        <v>16</v>
      </c>
      <c r="B33" s="31"/>
      <c r="C33" s="31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1"/>
      <c r="O33" s="31"/>
      <c r="P33" s="38"/>
    </row>
    <row r="34" spans="1:16" x14ac:dyDescent="0.3">
      <c r="A34" s="29" t="s">
        <v>17</v>
      </c>
      <c r="B34" s="37"/>
      <c r="C34" s="37"/>
      <c r="D34" s="31"/>
      <c r="E34" s="31"/>
      <c r="F34" s="31"/>
      <c r="G34" s="31"/>
      <c r="H34" s="37"/>
      <c r="I34" s="37"/>
      <c r="J34" s="37"/>
      <c r="K34" s="37"/>
      <c r="L34" s="37"/>
      <c r="M34" s="37"/>
      <c r="N34" s="37"/>
      <c r="O34" s="37"/>
      <c r="P34" s="38"/>
    </row>
    <row r="35" spans="1:16" x14ac:dyDescent="0.3">
      <c r="A35" s="29" t="s">
        <v>21</v>
      </c>
      <c r="B35" s="39"/>
      <c r="C35" s="39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1"/>
      <c r="O35" s="31"/>
      <c r="P35" s="38"/>
    </row>
    <row r="36" spans="1:16" x14ac:dyDescent="0.3">
      <c r="A36" s="40" t="s">
        <v>18</v>
      </c>
      <c r="B36" s="37"/>
      <c r="C36" s="37"/>
      <c r="D36" s="37"/>
      <c r="E36" s="37"/>
      <c r="F36" s="37"/>
      <c r="G36" s="37"/>
      <c r="H36" s="39"/>
      <c r="I36" s="39"/>
      <c r="J36" s="39"/>
      <c r="K36" s="39"/>
      <c r="L36" s="37"/>
      <c r="M36" s="37"/>
      <c r="N36" s="37"/>
      <c r="O36" s="37"/>
      <c r="P36" s="38"/>
    </row>
    <row r="37" spans="1:16" x14ac:dyDescent="0.3">
      <c r="A37" s="28" t="s">
        <v>26</v>
      </c>
      <c r="B37" s="37"/>
      <c r="C37" s="37"/>
      <c r="D37" s="31"/>
      <c r="E37" s="31"/>
      <c r="F37" s="31"/>
      <c r="G37" s="31"/>
      <c r="H37" s="37"/>
      <c r="I37" s="37"/>
      <c r="J37" s="37"/>
      <c r="K37" s="37"/>
      <c r="L37" s="37"/>
      <c r="M37" s="37"/>
      <c r="N37" s="37"/>
      <c r="O37" s="37"/>
      <c r="P37" s="38"/>
    </row>
    <row r="38" spans="1:16" x14ac:dyDescent="0.3">
      <c r="A38" s="40" t="s">
        <v>46</v>
      </c>
      <c r="B38" s="37"/>
      <c r="C38" s="37"/>
      <c r="D38" s="37"/>
      <c r="E38" s="37"/>
      <c r="F38" s="37"/>
      <c r="G38" s="37"/>
      <c r="H38" s="39"/>
      <c r="I38" s="39"/>
      <c r="J38" s="39"/>
      <c r="K38" s="39"/>
      <c r="L38" s="37"/>
      <c r="M38" s="37"/>
      <c r="N38" s="37"/>
      <c r="O38" s="37"/>
      <c r="P38" s="38"/>
    </row>
  </sheetData>
  <mergeCells count="46">
    <mergeCell ref="B1:P1"/>
    <mergeCell ref="B2:P2"/>
    <mergeCell ref="B3:C3"/>
    <mergeCell ref="D3:E3"/>
    <mergeCell ref="F3:G3"/>
    <mergeCell ref="H3:I3"/>
    <mergeCell ref="J3:K3"/>
    <mergeCell ref="L3:M3"/>
    <mergeCell ref="N3:O3"/>
    <mergeCell ref="N4:O4"/>
    <mergeCell ref="B5:C5"/>
    <mergeCell ref="D5:E5"/>
    <mergeCell ref="F5:G5"/>
    <mergeCell ref="H5:I5"/>
    <mergeCell ref="J5:K5"/>
    <mergeCell ref="L5:M5"/>
    <mergeCell ref="N5:O5"/>
    <mergeCell ref="B4:C4"/>
    <mergeCell ref="D4:E4"/>
    <mergeCell ref="F4:G4"/>
    <mergeCell ref="H4:I4"/>
    <mergeCell ref="J4:K4"/>
    <mergeCell ref="L4:M4"/>
    <mergeCell ref="B20:P20"/>
    <mergeCell ref="B21:P21"/>
    <mergeCell ref="B22:C22"/>
    <mergeCell ref="D22:E22"/>
    <mergeCell ref="F22:G22"/>
    <mergeCell ref="H22:I22"/>
    <mergeCell ref="J22:K22"/>
    <mergeCell ref="L22:M22"/>
    <mergeCell ref="N22:O22"/>
    <mergeCell ref="N23:O23"/>
    <mergeCell ref="B24:C24"/>
    <mergeCell ref="D24:E24"/>
    <mergeCell ref="F24:G24"/>
    <mergeCell ref="H24:I24"/>
    <mergeCell ref="J24:K24"/>
    <mergeCell ref="L24:M24"/>
    <mergeCell ref="N24:O24"/>
    <mergeCell ref="B23:C23"/>
    <mergeCell ref="D23:E23"/>
    <mergeCell ref="F23:G23"/>
    <mergeCell ref="H23:I23"/>
    <mergeCell ref="J23:K23"/>
    <mergeCell ref="L23:M23"/>
  </mergeCells>
  <pageMargins left="0.7" right="0.7" top="0.75" bottom="0.75" header="0.3" footer="0.3"/>
  <pageSetup paperSize="9" scale="72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C073D-3277-4812-B095-5CB881A31455}">
  <sheetPr>
    <pageSetUpPr fitToPage="1"/>
  </sheetPr>
  <dimension ref="A1:AC38"/>
  <sheetViews>
    <sheetView workbookViewId="0">
      <selection activeCell="B2" sqref="B2:P2"/>
    </sheetView>
  </sheetViews>
  <sheetFormatPr baseColWidth="10" defaultRowHeight="14.4" x14ac:dyDescent="0.3"/>
  <sheetData>
    <row r="1" spans="1:29" ht="15" thickBot="1" x14ac:dyDescent="0.35">
      <c r="A1" s="1" cm="1">
        <f t="array" aca="1" ref="A1" ca="1">A1:P35</f>
        <v>0</v>
      </c>
      <c r="B1" s="62" t="s">
        <v>0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3"/>
    </row>
    <row r="2" spans="1:29" ht="15" thickBot="1" x14ac:dyDescent="0.35">
      <c r="A2" s="22"/>
      <c r="B2" s="62" t="str">
        <f ca="1">"SEMAINE "&amp;_xlfn.SHEET()</f>
        <v>SEMAINE 18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3"/>
    </row>
    <row r="3" spans="1:29" x14ac:dyDescent="0.3">
      <c r="A3" s="23"/>
      <c r="B3" s="64" t="s">
        <v>1</v>
      </c>
      <c r="C3" s="65"/>
      <c r="D3" s="64" t="s">
        <v>2</v>
      </c>
      <c r="E3" s="65"/>
      <c r="F3" s="64" t="s">
        <v>3</v>
      </c>
      <c r="G3" s="65"/>
      <c r="H3" s="64" t="s">
        <v>4</v>
      </c>
      <c r="I3" s="65"/>
      <c r="J3" s="64" t="s">
        <v>5</v>
      </c>
      <c r="K3" s="65"/>
      <c r="L3" s="64" t="s">
        <v>6</v>
      </c>
      <c r="M3" s="65"/>
      <c r="N3" s="64" t="s">
        <v>7</v>
      </c>
      <c r="O3" s="65"/>
      <c r="P3" s="24" t="s">
        <v>8</v>
      </c>
      <c r="W3" s="25" t="e">
        <f t="shared" ref="W3:W20" si="0">C3-B3</f>
        <v>#VALUE!</v>
      </c>
      <c r="X3" s="25" t="e">
        <f t="shared" ref="X3:X20" si="1">E3-D3</f>
        <v>#VALUE!</v>
      </c>
      <c r="Y3" s="25" t="e">
        <f t="shared" ref="Y3:Y20" si="2">G3-F3</f>
        <v>#VALUE!</v>
      </c>
      <c r="Z3" s="25" t="e">
        <f t="shared" ref="Z3:Z20" si="3">I3-H3</f>
        <v>#VALUE!</v>
      </c>
      <c r="AA3" s="25" t="e">
        <f t="shared" ref="AA3:AA20" si="4">K3-J3</f>
        <v>#VALUE!</v>
      </c>
      <c r="AB3" s="25" t="e">
        <f t="shared" ref="AB3:AB20" si="5">M3-L3</f>
        <v>#VALUE!</v>
      </c>
      <c r="AC3" s="25" t="e">
        <f t="shared" ref="AC3:AC20" si="6">O3-N3</f>
        <v>#VALUE!</v>
      </c>
    </row>
    <row r="4" spans="1:29" x14ac:dyDescent="0.3">
      <c r="A4" s="26"/>
      <c r="B4" s="66">
        <v>46139</v>
      </c>
      <c r="C4" s="66"/>
      <c r="D4" s="66">
        <v>46140</v>
      </c>
      <c r="E4" s="66"/>
      <c r="F4" s="66">
        <v>46141</v>
      </c>
      <c r="G4" s="66"/>
      <c r="H4" s="66">
        <v>46142</v>
      </c>
      <c r="I4" s="66"/>
      <c r="J4" s="66">
        <v>46143</v>
      </c>
      <c r="K4" s="66"/>
      <c r="L4" s="66">
        <v>46144</v>
      </c>
      <c r="M4" s="66"/>
      <c r="N4" s="66">
        <v>46145</v>
      </c>
      <c r="O4" s="66"/>
      <c r="P4" s="27"/>
      <c r="W4" s="25">
        <f t="shared" si="0"/>
        <v>-46139</v>
      </c>
      <c r="X4" s="25">
        <f t="shared" si="1"/>
        <v>-46140</v>
      </c>
      <c r="Y4" s="25">
        <f t="shared" si="2"/>
        <v>-46141</v>
      </c>
      <c r="Z4" s="25">
        <f t="shared" si="3"/>
        <v>-46142</v>
      </c>
      <c r="AA4" s="25">
        <f t="shared" si="4"/>
        <v>-46143</v>
      </c>
      <c r="AB4" s="25">
        <f t="shared" si="5"/>
        <v>-46144</v>
      </c>
      <c r="AC4" s="25">
        <f t="shared" si="6"/>
        <v>-46145</v>
      </c>
    </row>
    <row r="5" spans="1:29" x14ac:dyDescent="0.3">
      <c r="A5" s="28" t="s">
        <v>9</v>
      </c>
      <c r="B5" s="58"/>
      <c r="C5" s="59"/>
      <c r="D5" s="58"/>
      <c r="E5" s="59"/>
      <c r="F5" s="58"/>
      <c r="G5" s="59"/>
      <c r="H5" s="58"/>
      <c r="I5" s="59"/>
      <c r="J5" s="58"/>
      <c r="K5" s="59"/>
      <c r="L5" s="58"/>
      <c r="M5" s="59"/>
      <c r="N5" s="58"/>
      <c r="O5" s="59"/>
      <c r="P5" s="27"/>
      <c r="W5" s="25">
        <f t="shared" si="0"/>
        <v>0</v>
      </c>
      <c r="X5" s="25">
        <f t="shared" si="1"/>
        <v>0</v>
      </c>
      <c r="Y5" s="25">
        <f t="shared" si="2"/>
        <v>0</v>
      </c>
      <c r="Z5" s="25">
        <f t="shared" si="3"/>
        <v>0</v>
      </c>
      <c r="AA5" s="25">
        <f t="shared" si="4"/>
        <v>0</v>
      </c>
      <c r="AB5" s="25">
        <f t="shared" si="5"/>
        <v>0</v>
      </c>
      <c r="AC5" s="25">
        <f t="shared" si="6"/>
        <v>0</v>
      </c>
    </row>
    <row r="6" spans="1:29" x14ac:dyDescent="0.3">
      <c r="A6" s="29" t="s">
        <v>10</v>
      </c>
      <c r="B6" s="30">
        <v>0.41666666666666669</v>
      </c>
      <c r="C6" s="30">
        <v>0.70833333333333337</v>
      </c>
      <c r="D6" s="30">
        <v>0.39583333333333331</v>
      </c>
      <c r="E6" s="30">
        <v>0.72916666666666663</v>
      </c>
      <c r="F6" s="30">
        <v>0.375</v>
      </c>
      <c r="G6" s="30">
        <v>0.72916666666666663</v>
      </c>
      <c r="H6" s="30">
        <v>0.41666666666666669</v>
      </c>
      <c r="I6" s="30">
        <v>0.72916666666666663</v>
      </c>
      <c r="J6" s="30">
        <v>0.375</v>
      </c>
      <c r="K6" s="30">
        <v>0.70833333333333337</v>
      </c>
      <c r="L6" s="31"/>
      <c r="M6" s="31"/>
      <c r="N6" s="31"/>
      <c r="O6" s="31"/>
      <c r="P6" s="32">
        <f t="shared" ref="P6:P11" si="7">W6+X6+Y6+Z6+AA6+AB6+AC6</f>
        <v>1.625</v>
      </c>
      <c r="W6" s="25">
        <f t="shared" si="0"/>
        <v>0.29166666666666669</v>
      </c>
      <c r="X6" s="25">
        <f t="shared" si="1"/>
        <v>0.33333333333333331</v>
      </c>
      <c r="Y6" s="25">
        <f t="shared" si="2"/>
        <v>0.35416666666666663</v>
      </c>
      <c r="Z6" s="25">
        <f t="shared" si="3"/>
        <v>0.31249999999999994</v>
      </c>
      <c r="AA6" s="25">
        <f t="shared" si="4"/>
        <v>0.33333333333333337</v>
      </c>
      <c r="AB6" s="25">
        <f t="shared" si="5"/>
        <v>0</v>
      </c>
      <c r="AC6" s="25">
        <f t="shared" si="6"/>
        <v>0</v>
      </c>
    </row>
    <row r="7" spans="1:29" x14ac:dyDescent="0.3">
      <c r="A7" s="33" t="s">
        <v>12</v>
      </c>
      <c r="B7" s="34">
        <v>0.41666666666666669</v>
      </c>
      <c r="C7" s="34">
        <v>0.70833333333333337</v>
      </c>
      <c r="D7" s="34">
        <v>0.41666666666666669</v>
      </c>
      <c r="E7" s="34">
        <v>0.70833333333333337</v>
      </c>
      <c r="F7" s="34">
        <v>0.41666666666666669</v>
      </c>
      <c r="G7" s="34">
        <v>0.70833333333333337</v>
      </c>
      <c r="H7" s="34">
        <v>0.41666666666666669</v>
      </c>
      <c r="I7" s="34">
        <v>0.70833333333333337</v>
      </c>
      <c r="J7" s="34">
        <v>0.41666666666666669</v>
      </c>
      <c r="K7" s="34">
        <v>0.70833333333333337</v>
      </c>
      <c r="L7" s="31"/>
      <c r="M7" s="31"/>
      <c r="N7" s="31"/>
      <c r="O7" s="31"/>
      <c r="P7" s="32">
        <f t="shared" si="7"/>
        <v>1.4583333333333335</v>
      </c>
      <c r="W7" s="25">
        <f t="shared" si="0"/>
        <v>0.29166666666666669</v>
      </c>
      <c r="X7" s="25">
        <f t="shared" si="1"/>
        <v>0.29166666666666669</v>
      </c>
      <c r="Y7" s="25">
        <f t="shared" si="2"/>
        <v>0.29166666666666669</v>
      </c>
      <c r="Z7" s="25">
        <f t="shared" si="3"/>
        <v>0.29166666666666669</v>
      </c>
      <c r="AA7" s="25">
        <f t="shared" si="4"/>
        <v>0.29166666666666669</v>
      </c>
      <c r="AB7" s="25">
        <f t="shared" si="5"/>
        <v>0</v>
      </c>
      <c r="AC7" s="25">
        <f t="shared" si="6"/>
        <v>0</v>
      </c>
    </row>
    <row r="8" spans="1:29" x14ac:dyDescent="0.3">
      <c r="A8" s="28" t="s">
        <v>36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4">
        <v>0.48958333333333331</v>
      </c>
      <c r="M8" s="34">
        <v>0.63541666666666663</v>
      </c>
      <c r="N8" s="34">
        <v>0.48958333333333331</v>
      </c>
      <c r="O8" s="34">
        <v>0.63541666666666663</v>
      </c>
      <c r="P8" s="32">
        <f t="shared" si="7"/>
        <v>0.29166666666666663</v>
      </c>
      <c r="W8" s="25">
        <f t="shared" si="0"/>
        <v>0</v>
      </c>
      <c r="X8" s="25">
        <f t="shared" si="1"/>
        <v>0</v>
      </c>
      <c r="Y8" s="25">
        <f t="shared" si="2"/>
        <v>0</v>
      </c>
      <c r="Z8" s="25">
        <f t="shared" si="3"/>
        <v>0</v>
      </c>
      <c r="AA8" s="25">
        <f t="shared" si="4"/>
        <v>0</v>
      </c>
      <c r="AB8" s="25">
        <f t="shared" si="5"/>
        <v>0.14583333333333331</v>
      </c>
      <c r="AC8" s="25">
        <f t="shared" si="6"/>
        <v>0.14583333333333331</v>
      </c>
    </row>
    <row r="9" spans="1:29" x14ac:dyDescent="0.3">
      <c r="A9" s="28" t="s">
        <v>37</v>
      </c>
      <c r="B9" s="34">
        <v>0.39583333333333331</v>
      </c>
      <c r="C9" s="34">
        <v>0.72916666666666663</v>
      </c>
      <c r="D9" s="34">
        <v>0.39583333333333331</v>
      </c>
      <c r="E9" s="34">
        <v>0.70833333333333337</v>
      </c>
      <c r="F9" s="34">
        <v>0.375</v>
      </c>
      <c r="G9" s="34">
        <v>0.72916666666666663</v>
      </c>
      <c r="H9" s="31"/>
      <c r="I9" s="31"/>
      <c r="J9" s="31"/>
      <c r="K9" s="31"/>
      <c r="L9" s="34">
        <v>0.39583333333333331</v>
      </c>
      <c r="M9" s="34">
        <v>0.70833333333333337</v>
      </c>
      <c r="N9" s="34">
        <v>0.39583333333333331</v>
      </c>
      <c r="O9" s="34">
        <v>0.70833333333333337</v>
      </c>
      <c r="P9" s="32">
        <f t="shared" si="7"/>
        <v>1.625</v>
      </c>
      <c r="W9" s="25">
        <f t="shared" si="0"/>
        <v>0.33333333333333331</v>
      </c>
      <c r="X9" s="25">
        <f t="shared" si="1"/>
        <v>0.31250000000000006</v>
      </c>
      <c r="Y9" s="25">
        <f t="shared" si="2"/>
        <v>0.35416666666666663</v>
      </c>
      <c r="Z9" s="25">
        <f t="shared" si="3"/>
        <v>0</v>
      </c>
      <c r="AA9" s="25">
        <f t="shared" si="4"/>
        <v>0</v>
      </c>
      <c r="AB9" s="25">
        <f t="shared" si="5"/>
        <v>0.31250000000000006</v>
      </c>
      <c r="AC9" s="25">
        <f t="shared" si="6"/>
        <v>0.31250000000000006</v>
      </c>
    </row>
    <row r="10" spans="1:29" x14ac:dyDescent="0.3">
      <c r="A10" s="28" t="s">
        <v>42</v>
      </c>
      <c r="B10" s="34">
        <v>0.39583333333333331</v>
      </c>
      <c r="C10" s="34">
        <v>0.72916666666666663</v>
      </c>
      <c r="D10" s="31"/>
      <c r="E10" s="31"/>
      <c r="F10" s="31"/>
      <c r="G10" s="31"/>
      <c r="H10" s="34">
        <v>0.39583333333333331</v>
      </c>
      <c r="I10" s="34">
        <v>0.70833333333333337</v>
      </c>
      <c r="J10" s="34">
        <v>0.39583333333333331</v>
      </c>
      <c r="K10" s="34">
        <v>0.72916666666666663</v>
      </c>
      <c r="L10" s="34">
        <v>0.39583333333333331</v>
      </c>
      <c r="M10" s="34">
        <v>0.72916666666666663</v>
      </c>
      <c r="N10" s="34">
        <v>0.39583333333333331</v>
      </c>
      <c r="O10" s="34">
        <v>0.70833333333333337</v>
      </c>
      <c r="P10" s="32">
        <f t="shared" si="7"/>
        <v>1.625</v>
      </c>
      <c r="W10" s="25">
        <f t="shared" si="0"/>
        <v>0.33333333333333331</v>
      </c>
      <c r="X10" s="25">
        <f t="shared" si="1"/>
        <v>0</v>
      </c>
      <c r="Y10" s="25">
        <f t="shared" si="2"/>
        <v>0</v>
      </c>
      <c r="Z10" s="25">
        <f t="shared" si="3"/>
        <v>0.31250000000000006</v>
      </c>
      <c r="AA10" s="25">
        <f t="shared" si="4"/>
        <v>0.33333333333333331</v>
      </c>
      <c r="AB10" s="25">
        <f t="shared" si="5"/>
        <v>0.33333333333333331</v>
      </c>
      <c r="AC10" s="25">
        <f t="shared" si="6"/>
        <v>0.31250000000000006</v>
      </c>
    </row>
    <row r="11" spans="1:29" x14ac:dyDescent="0.3">
      <c r="A11" s="28" t="s">
        <v>14</v>
      </c>
      <c r="B11" s="34">
        <v>0.39583333333333331</v>
      </c>
      <c r="C11" s="34">
        <v>0.70833333333333337</v>
      </c>
      <c r="D11" s="34">
        <v>0.39583333333333331</v>
      </c>
      <c r="E11" s="34">
        <v>0.72916666666666663</v>
      </c>
      <c r="F11" s="31"/>
      <c r="G11" s="31"/>
      <c r="H11" s="31"/>
      <c r="I11" s="31"/>
      <c r="J11" s="34">
        <v>0.375</v>
      </c>
      <c r="K11" s="34">
        <v>0.70833333333333337</v>
      </c>
      <c r="L11" s="34">
        <v>0.39583333333333331</v>
      </c>
      <c r="M11" s="34">
        <v>0.72916666666666663</v>
      </c>
      <c r="N11" s="34">
        <v>0.39583333333333331</v>
      </c>
      <c r="O11" s="34">
        <v>0.70833333333333337</v>
      </c>
      <c r="P11" s="32">
        <f t="shared" si="7"/>
        <v>1.625</v>
      </c>
      <c r="W11" s="25">
        <f t="shared" si="0"/>
        <v>0.31250000000000006</v>
      </c>
      <c r="X11" s="25">
        <f t="shared" si="1"/>
        <v>0.33333333333333331</v>
      </c>
      <c r="Y11" s="25">
        <f t="shared" si="2"/>
        <v>0</v>
      </c>
      <c r="Z11" s="25">
        <f t="shared" si="3"/>
        <v>0</v>
      </c>
      <c r="AA11" s="25">
        <f t="shared" si="4"/>
        <v>0.33333333333333337</v>
      </c>
      <c r="AB11" s="25">
        <f t="shared" si="5"/>
        <v>0.33333333333333331</v>
      </c>
      <c r="AC11" s="25">
        <f t="shared" si="6"/>
        <v>0.31250000000000006</v>
      </c>
    </row>
    <row r="12" spans="1:29" x14ac:dyDescent="0.3">
      <c r="A12" s="28" t="s">
        <v>45</v>
      </c>
      <c r="B12" s="31"/>
      <c r="C12" s="31"/>
      <c r="D12" s="14">
        <v>0.41666666666666669</v>
      </c>
      <c r="E12" s="14">
        <v>0.70833333333333337</v>
      </c>
      <c r="F12" s="14">
        <v>0.375</v>
      </c>
      <c r="G12" s="14">
        <v>0.75</v>
      </c>
      <c r="H12" s="14">
        <v>0.39583333333333331</v>
      </c>
      <c r="I12" s="14">
        <v>0.72916666666666663</v>
      </c>
      <c r="J12" s="14">
        <v>0.375</v>
      </c>
      <c r="K12" s="14">
        <v>0.70833333333333337</v>
      </c>
      <c r="L12" s="14">
        <v>0.41666666666666669</v>
      </c>
      <c r="M12" s="14">
        <v>0.70833333333333337</v>
      </c>
      <c r="N12" s="31"/>
      <c r="O12" s="31"/>
      <c r="P12" s="38">
        <f>W12+X12+Y12+Z12+AA12+AB12+AC12</f>
        <v>1.6250000000000002</v>
      </c>
      <c r="W12" s="25">
        <f t="shared" si="0"/>
        <v>0</v>
      </c>
      <c r="X12" s="25">
        <f t="shared" si="1"/>
        <v>0.29166666666666669</v>
      </c>
      <c r="Y12" s="25">
        <f t="shared" si="2"/>
        <v>0.375</v>
      </c>
      <c r="Z12" s="25">
        <f t="shared" si="3"/>
        <v>0.33333333333333331</v>
      </c>
      <c r="AA12" s="25">
        <f t="shared" si="4"/>
        <v>0.33333333333333337</v>
      </c>
      <c r="AB12" s="25">
        <f t="shared" si="5"/>
        <v>0.29166666666666669</v>
      </c>
      <c r="AC12" s="25">
        <f t="shared" si="6"/>
        <v>0</v>
      </c>
    </row>
    <row r="13" spans="1:29" x14ac:dyDescent="0.3">
      <c r="A13" s="35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51"/>
      <c r="W13" s="25">
        <f t="shared" si="0"/>
        <v>0</v>
      </c>
      <c r="X13" s="25">
        <f t="shared" si="1"/>
        <v>0</v>
      </c>
      <c r="Y13" s="25">
        <f t="shared" si="2"/>
        <v>0</v>
      </c>
      <c r="Z13" s="25">
        <f t="shared" si="3"/>
        <v>0</v>
      </c>
      <c r="AA13" s="25">
        <f t="shared" si="4"/>
        <v>0</v>
      </c>
      <c r="AB13" s="25">
        <f t="shared" si="5"/>
        <v>0</v>
      </c>
      <c r="AC13" s="25">
        <f t="shared" si="6"/>
        <v>0</v>
      </c>
    </row>
    <row r="14" spans="1:29" x14ac:dyDescent="0.3">
      <c r="A14" s="29" t="s">
        <v>16</v>
      </c>
      <c r="B14" s="31"/>
      <c r="C14" s="31"/>
      <c r="D14" s="37">
        <v>0.70833333333333337</v>
      </c>
      <c r="E14" s="37">
        <v>1.0625</v>
      </c>
      <c r="F14" s="37">
        <v>0.72916666666666663</v>
      </c>
      <c r="G14" s="37">
        <v>1.0625</v>
      </c>
      <c r="H14" s="37">
        <v>0.70833333333333304</v>
      </c>
      <c r="I14" s="37">
        <v>1.0625</v>
      </c>
      <c r="J14" s="37">
        <v>0.70833333333333304</v>
      </c>
      <c r="K14" s="37">
        <v>1.0625</v>
      </c>
      <c r="L14" s="37">
        <v>0.70833333333333304</v>
      </c>
      <c r="M14" s="37">
        <v>1.0625</v>
      </c>
      <c r="N14" s="31"/>
      <c r="O14" s="31"/>
      <c r="P14" s="38">
        <f t="shared" ref="P14:P19" si="8">W14+X14+Y14+Z14+AA14+AB14+AC14</f>
        <v>1.7500000000000009</v>
      </c>
      <c r="W14" s="25">
        <f t="shared" si="0"/>
        <v>0</v>
      </c>
      <c r="X14" s="25">
        <f t="shared" si="1"/>
        <v>0.35416666666666663</v>
      </c>
      <c r="Y14" s="25">
        <f t="shared" si="2"/>
        <v>0.33333333333333337</v>
      </c>
      <c r="Z14" s="25">
        <f t="shared" si="3"/>
        <v>0.35416666666666696</v>
      </c>
      <c r="AA14" s="25">
        <f t="shared" si="4"/>
        <v>0.35416666666666696</v>
      </c>
      <c r="AB14" s="25">
        <f t="shared" si="5"/>
        <v>0.35416666666666696</v>
      </c>
      <c r="AC14" s="25">
        <f t="shared" si="6"/>
        <v>0</v>
      </c>
    </row>
    <row r="15" spans="1:29" x14ac:dyDescent="0.3">
      <c r="A15" s="29" t="s">
        <v>17</v>
      </c>
      <c r="B15" s="37">
        <v>0.70833333333333337</v>
      </c>
      <c r="C15" s="37">
        <v>1.0208333333333299</v>
      </c>
      <c r="D15" s="31"/>
      <c r="E15" s="31"/>
      <c r="F15" s="31"/>
      <c r="G15" s="31"/>
      <c r="H15" s="37">
        <v>0.70833333333333337</v>
      </c>
      <c r="I15" s="37">
        <v>1.0625</v>
      </c>
      <c r="J15" s="37">
        <v>0.70833333333333304</v>
      </c>
      <c r="K15" s="37">
        <v>1.0625</v>
      </c>
      <c r="L15" s="37">
        <v>0.6875</v>
      </c>
      <c r="M15" s="37">
        <v>1.0625</v>
      </c>
      <c r="N15" s="37">
        <v>0.66666666666666663</v>
      </c>
      <c r="O15" s="37">
        <v>1.0208333333333333</v>
      </c>
      <c r="P15" s="38">
        <f t="shared" si="8"/>
        <v>1.7499999999999969</v>
      </c>
      <c r="W15" s="25">
        <f t="shared" si="0"/>
        <v>0.31249999999999656</v>
      </c>
      <c r="X15" s="25">
        <f>E15-D15</f>
        <v>0</v>
      </c>
      <c r="Y15" s="25">
        <f t="shared" si="2"/>
        <v>0</v>
      </c>
      <c r="Z15" s="25">
        <f t="shared" si="3"/>
        <v>0.35416666666666663</v>
      </c>
      <c r="AA15" s="25">
        <f t="shared" si="4"/>
        <v>0.35416666666666696</v>
      </c>
      <c r="AB15" s="25">
        <f t="shared" si="5"/>
        <v>0.375</v>
      </c>
      <c r="AC15" s="25">
        <f t="shared" si="6"/>
        <v>0.35416666666666663</v>
      </c>
    </row>
    <row r="16" spans="1:29" x14ac:dyDescent="0.3">
      <c r="A16" s="29" t="s">
        <v>21</v>
      </c>
      <c r="B16" s="39"/>
      <c r="C16" s="39"/>
      <c r="D16" s="37">
        <v>0.70833333333333337</v>
      </c>
      <c r="E16" s="37">
        <v>1.0625</v>
      </c>
      <c r="F16" s="37">
        <v>0.70833333333333337</v>
      </c>
      <c r="G16" s="37">
        <v>1.0625</v>
      </c>
      <c r="H16" s="37">
        <v>0.72916666666666663</v>
      </c>
      <c r="I16" s="37">
        <v>1.0625</v>
      </c>
      <c r="J16" s="37">
        <v>0.70833333333333337</v>
      </c>
      <c r="K16" s="37">
        <v>1.0625</v>
      </c>
      <c r="L16" s="37">
        <v>0.70833333333333337</v>
      </c>
      <c r="M16" s="37">
        <v>1.0625</v>
      </c>
      <c r="N16" s="31"/>
      <c r="O16" s="31"/>
      <c r="P16" s="38">
        <f t="shared" si="8"/>
        <v>1.7499999999999996</v>
      </c>
      <c r="W16" s="25">
        <f t="shared" si="0"/>
        <v>0</v>
      </c>
      <c r="X16" s="25">
        <f t="shared" si="1"/>
        <v>0.35416666666666663</v>
      </c>
      <c r="Y16" s="25">
        <f t="shared" si="2"/>
        <v>0.35416666666666663</v>
      </c>
      <c r="Z16" s="25">
        <f t="shared" si="3"/>
        <v>0.33333333333333337</v>
      </c>
      <c r="AA16" s="25">
        <f t="shared" si="4"/>
        <v>0.35416666666666663</v>
      </c>
      <c r="AB16" s="25">
        <f t="shared" si="5"/>
        <v>0.35416666666666663</v>
      </c>
      <c r="AC16" s="25">
        <f t="shared" si="6"/>
        <v>0</v>
      </c>
    </row>
    <row r="17" spans="1:29" x14ac:dyDescent="0.3">
      <c r="A17" s="40" t="s">
        <v>18</v>
      </c>
      <c r="B17" s="37">
        <v>0.72916666666666663</v>
      </c>
      <c r="C17" s="37">
        <v>1.0208333333333299</v>
      </c>
      <c r="D17" s="37">
        <v>0.70833333333333337</v>
      </c>
      <c r="E17" s="37">
        <v>1.0625</v>
      </c>
      <c r="F17" s="37">
        <v>0.75</v>
      </c>
      <c r="G17" s="37">
        <v>1.0625</v>
      </c>
      <c r="H17" s="39"/>
      <c r="I17" s="39"/>
      <c r="J17" s="39"/>
      <c r="K17" s="39"/>
      <c r="L17" s="37">
        <v>0.70833333333333337</v>
      </c>
      <c r="M17" s="37">
        <v>1.0625</v>
      </c>
      <c r="N17" s="37">
        <v>0.70833333333333337</v>
      </c>
      <c r="O17" s="37">
        <v>1.0208333333333333</v>
      </c>
      <c r="P17" s="38">
        <f t="shared" si="8"/>
        <v>1.6249999999999964</v>
      </c>
      <c r="W17" s="25">
        <f t="shared" si="0"/>
        <v>0.2916666666666633</v>
      </c>
      <c r="X17" s="25">
        <f t="shared" si="1"/>
        <v>0.35416666666666663</v>
      </c>
      <c r="Y17" s="25">
        <f t="shared" si="2"/>
        <v>0.3125</v>
      </c>
      <c r="Z17" s="25">
        <f t="shared" si="3"/>
        <v>0</v>
      </c>
      <c r="AA17" s="25">
        <f t="shared" si="4"/>
        <v>0</v>
      </c>
      <c r="AB17" s="25">
        <f t="shared" si="5"/>
        <v>0.35416666666666663</v>
      </c>
      <c r="AC17" s="25">
        <f t="shared" si="6"/>
        <v>0.31249999999999989</v>
      </c>
    </row>
    <row r="18" spans="1:29" x14ac:dyDescent="0.3">
      <c r="A18" s="28" t="s">
        <v>26</v>
      </c>
      <c r="B18" s="37">
        <v>0.72916666666666663</v>
      </c>
      <c r="C18" s="37">
        <v>1.0208333333333333</v>
      </c>
      <c r="D18" s="31"/>
      <c r="E18" s="31"/>
      <c r="F18" s="31"/>
      <c r="G18" s="31"/>
      <c r="H18" s="37">
        <v>0.75</v>
      </c>
      <c r="I18" s="37">
        <v>1.0625</v>
      </c>
      <c r="J18" s="37">
        <v>0.75</v>
      </c>
      <c r="K18" s="37">
        <v>1.0625</v>
      </c>
      <c r="L18" s="37">
        <v>0.70833333333333337</v>
      </c>
      <c r="M18" s="37">
        <v>1.0625</v>
      </c>
      <c r="N18" s="37">
        <v>0.66666666666666663</v>
      </c>
      <c r="O18" s="37">
        <v>1.0208333333333333</v>
      </c>
      <c r="P18" s="38">
        <f t="shared" si="8"/>
        <v>1.625</v>
      </c>
      <c r="W18" s="25">
        <f t="shared" si="0"/>
        <v>0.29166666666666663</v>
      </c>
      <c r="X18" s="25">
        <f t="shared" si="1"/>
        <v>0</v>
      </c>
      <c r="Y18" s="25">
        <f t="shared" si="2"/>
        <v>0</v>
      </c>
      <c r="Z18" s="25">
        <f t="shared" si="3"/>
        <v>0.3125</v>
      </c>
      <c r="AA18" s="25">
        <f t="shared" si="4"/>
        <v>0.3125</v>
      </c>
      <c r="AB18" s="25">
        <f t="shared" si="5"/>
        <v>0.35416666666666663</v>
      </c>
      <c r="AC18" s="25">
        <f t="shared" si="6"/>
        <v>0.35416666666666663</v>
      </c>
    </row>
    <row r="19" spans="1:29" x14ac:dyDescent="0.3">
      <c r="A19" s="40" t="s">
        <v>46</v>
      </c>
      <c r="B19" s="39"/>
      <c r="C19" s="39"/>
      <c r="D19" s="37">
        <v>0.72916666666666663</v>
      </c>
      <c r="E19" s="37">
        <v>1.0625</v>
      </c>
      <c r="F19" s="37">
        <v>0.75</v>
      </c>
      <c r="G19" s="37">
        <v>1.0625</v>
      </c>
      <c r="H19" s="37">
        <v>0.72916666666666663</v>
      </c>
      <c r="I19" s="37">
        <v>1.0625</v>
      </c>
      <c r="J19" s="37">
        <v>0.75</v>
      </c>
      <c r="K19" s="37">
        <v>1.0625</v>
      </c>
      <c r="L19" s="37">
        <v>0.72916666666666663</v>
      </c>
      <c r="M19" s="37">
        <v>1.0625</v>
      </c>
      <c r="N19" s="39"/>
      <c r="O19" s="39"/>
      <c r="P19" s="38">
        <f t="shared" si="8"/>
        <v>1.625</v>
      </c>
      <c r="W19" s="25">
        <f t="shared" si="0"/>
        <v>0</v>
      </c>
      <c r="X19" s="25">
        <f t="shared" si="1"/>
        <v>0.33333333333333337</v>
      </c>
      <c r="Y19" s="25">
        <f t="shared" si="2"/>
        <v>0.3125</v>
      </c>
      <c r="Z19" s="25">
        <f t="shared" si="3"/>
        <v>0.33333333333333337</v>
      </c>
      <c r="AA19" s="25">
        <f t="shared" si="4"/>
        <v>0.3125</v>
      </c>
      <c r="AB19" s="25">
        <f t="shared" si="5"/>
        <v>0.33333333333333337</v>
      </c>
      <c r="AC19" s="25">
        <f t="shared" si="6"/>
        <v>0</v>
      </c>
    </row>
    <row r="20" spans="1:29" ht="15" thickBot="1" x14ac:dyDescent="0.35">
      <c r="A20" s="52" t="e" cm="1">
        <f t="array" ref="A20">+A20:PA20:P+A20:P363628A1:P2A1:P47</f>
        <v>#NAME?</v>
      </c>
      <c r="B20" s="60" t="s">
        <v>0</v>
      </c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1"/>
      <c r="W20" s="25" t="e">
        <f t="shared" si="0"/>
        <v>#VALUE!</v>
      </c>
      <c r="X20" s="25">
        <f t="shared" si="1"/>
        <v>0</v>
      </c>
      <c r="Y20" s="25">
        <f t="shared" si="2"/>
        <v>0</v>
      </c>
      <c r="Z20" s="25">
        <f t="shared" si="3"/>
        <v>0</v>
      </c>
      <c r="AA20" s="25">
        <f t="shared" si="4"/>
        <v>0</v>
      </c>
      <c r="AB20" s="25">
        <f t="shared" si="5"/>
        <v>0</v>
      </c>
      <c r="AC20" s="25">
        <f t="shared" si="6"/>
        <v>0</v>
      </c>
    </row>
    <row r="21" spans="1:29" ht="15" thickBot="1" x14ac:dyDescent="0.35">
      <c r="A21" s="53"/>
      <c r="B21" s="62" t="str">
        <f ca="1">B2</f>
        <v>SEMAINE 18</v>
      </c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3"/>
    </row>
    <row r="22" spans="1:29" x14ac:dyDescent="0.3">
      <c r="A22" s="23"/>
      <c r="B22" s="64" t="s">
        <v>1</v>
      </c>
      <c r="C22" s="65"/>
      <c r="D22" s="64" t="s">
        <v>2</v>
      </c>
      <c r="E22" s="65"/>
      <c r="F22" s="64" t="s">
        <v>3</v>
      </c>
      <c r="G22" s="65"/>
      <c r="H22" s="64" t="s">
        <v>4</v>
      </c>
      <c r="I22" s="65"/>
      <c r="J22" s="64" t="s">
        <v>5</v>
      </c>
      <c r="K22" s="65"/>
      <c r="L22" s="64" t="s">
        <v>6</v>
      </c>
      <c r="M22" s="65"/>
      <c r="N22" s="64" t="s">
        <v>7</v>
      </c>
      <c r="O22" s="65"/>
      <c r="P22" s="24" t="s">
        <v>8</v>
      </c>
    </row>
    <row r="23" spans="1:29" x14ac:dyDescent="0.3">
      <c r="A23" s="26"/>
      <c r="B23" s="58">
        <f>B4</f>
        <v>46139</v>
      </c>
      <c r="C23" s="59"/>
      <c r="D23" s="58">
        <f>D4</f>
        <v>46140</v>
      </c>
      <c r="E23" s="59"/>
      <c r="F23" s="58">
        <f>F4</f>
        <v>46141</v>
      </c>
      <c r="G23" s="59"/>
      <c r="H23" s="58">
        <f>H4</f>
        <v>46142</v>
      </c>
      <c r="I23" s="59"/>
      <c r="J23" s="58">
        <f>J4</f>
        <v>46143</v>
      </c>
      <c r="K23" s="59"/>
      <c r="L23" s="58">
        <f>L4</f>
        <v>46144</v>
      </c>
      <c r="M23" s="59"/>
      <c r="N23" s="58">
        <f>N4</f>
        <v>46145</v>
      </c>
      <c r="O23" s="59"/>
      <c r="P23" s="27"/>
    </row>
    <row r="24" spans="1:29" x14ac:dyDescent="0.3">
      <c r="A24" s="28" t="s">
        <v>9</v>
      </c>
      <c r="B24" s="58"/>
      <c r="C24" s="59"/>
      <c r="D24" s="58"/>
      <c r="E24" s="59"/>
      <c r="F24" s="58"/>
      <c r="G24" s="59"/>
      <c r="H24" s="58"/>
      <c r="I24" s="59"/>
      <c r="J24" s="58"/>
      <c r="K24" s="59"/>
      <c r="L24" s="58"/>
      <c r="M24" s="59"/>
      <c r="N24" s="58"/>
      <c r="O24" s="59"/>
      <c r="P24" s="27"/>
    </row>
    <row r="25" spans="1:29" x14ac:dyDescent="0.3">
      <c r="A25" s="29" t="s">
        <v>10</v>
      </c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1"/>
      <c r="M25" s="31"/>
      <c r="N25" s="31"/>
      <c r="O25" s="31"/>
      <c r="P25" s="32"/>
    </row>
    <row r="26" spans="1:29" x14ac:dyDescent="0.3">
      <c r="A26" s="33" t="s">
        <v>12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31"/>
      <c r="M26" s="31"/>
      <c r="N26" s="31"/>
      <c r="O26" s="31"/>
      <c r="P26" s="32"/>
    </row>
    <row r="27" spans="1:29" x14ac:dyDescent="0.3">
      <c r="A27" s="28" t="s">
        <v>36</v>
      </c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4"/>
      <c r="M27" s="34"/>
      <c r="N27" s="34"/>
      <c r="O27" s="34"/>
      <c r="P27" s="32"/>
    </row>
    <row r="28" spans="1:29" x14ac:dyDescent="0.3">
      <c r="A28" s="28" t="s">
        <v>37</v>
      </c>
      <c r="B28" s="34"/>
      <c r="C28" s="34"/>
      <c r="D28" s="34"/>
      <c r="E28" s="34"/>
      <c r="F28" s="34"/>
      <c r="G28" s="34"/>
      <c r="H28" s="31"/>
      <c r="I28" s="31"/>
      <c r="J28" s="31"/>
      <c r="K28" s="31"/>
      <c r="L28" s="34"/>
      <c r="M28" s="34"/>
      <c r="N28" s="34"/>
      <c r="O28" s="34"/>
      <c r="P28" s="32"/>
    </row>
    <row r="29" spans="1:29" x14ac:dyDescent="0.3">
      <c r="A29" s="28" t="s">
        <v>42</v>
      </c>
      <c r="B29" s="34"/>
      <c r="C29" s="34"/>
      <c r="D29" s="34"/>
      <c r="E29" s="34"/>
      <c r="F29" s="31"/>
      <c r="G29" s="31"/>
      <c r="H29" s="31"/>
      <c r="I29" s="31"/>
      <c r="J29" s="34"/>
      <c r="K29" s="34"/>
      <c r="L29" s="34"/>
      <c r="M29" s="34"/>
      <c r="N29" s="34"/>
      <c r="O29" s="34"/>
      <c r="P29" s="32"/>
    </row>
    <row r="30" spans="1:29" x14ac:dyDescent="0.3">
      <c r="A30" s="28" t="s">
        <v>14</v>
      </c>
      <c r="B30" s="34"/>
      <c r="C30" s="34"/>
      <c r="D30" s="31"/>
      <c r="E30" s="31"/>
      <c r="F30" s="31"/>
      <c r="G30" s="31"/>
      <c r="H30" s="34"/>
      <c r="I30" s="34"/>
      <c r="J30" s="34"/>
      <c r="K30" s="34"/>
      <c r="L30" s="34"/>
      <c r="M30" s="34"/>
      <c r="N30" s="34"/>
      <c r="O30" s="34"/>
      <c r="P30" s="32"/>
    </row>
    <row r="31" spans="1:29" x14ac:dyDescent="0.3">
      <c r="A31" s="28" t="s">
        <v>45</v>
      </c>
      <c r="B31" s="31"/>
      <c r="C31" s="31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31"/>
      <c r="O31" s="31"/>
      <c r="P31" s="38"/>
    </row>
    <row r="32" spans="1:29" x14ac:dyDescent="0.3">
      <c r="A32" s="35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51"/>
    </row>
    <row r="33" spans="1:16" x14ac:dyDescent="0.3">
      <c r="A33" s="29" t="s">
        <v>16</v>
      </c>
      <c r="B33" s="31"/>
      <c r="C33" s="31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1"/>
      <c r="O33" s="31"/>
      <c r="P33" s="38"/>
    </row>
    <row r="34" spans="1:16" x14ac:dyDescent="0.3">
      <c r="A34" s="29" t="s">
        <v>17</v>
      </c>
      <c r="B34" s="37"/>
      <c r="C34" s="37"/>
      <c r="D34" s="31"/>
      <c r="E34" s="31"/>
      <c r="F34" s="31"/>
      <c r="G34" s="31"/>
      <c r="H34" s="37"/>
      <c r="I34" s="37"/>
      <c r="J34" s="37"/>
      <c r="K34" s="37"/>
      <c r="L34" s="37"/>
      <c r="M34" s="37"/>
      <c r="N34" s="37"/>
      <c r="O34" s="37"/>
      <c r="P34" s="38"/>
    </row>
    <row r="35" spans="1:16" x14ac:dyDescent="0.3">
      <c r="A35" s="29" t="s">
        <v>21</v>
      </c>
      <c r="B35" s="39"/>
      <c r="C35" s="39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1"/>
      <c r="O35" s="31"/>
      <c r="P35" s="38"/>
    </row>
    <row r="36" spans="1:16" x14ac:dyDescent="0.3">
      <c r="A36" s="40" t="s">
        <v>18</v>
      </c>
      <c r="B36" s="37"/>
      <c r="C36" s="37"/>
      <c r="D36" s="37"/>
      <c r="E36" s="37"/>
      <c r="F36" s="37"/>
      <c r="G36" s="37"/>
      <c r="H36" s="39"/>
      <c r="I36" s="39"/>
      <c r="J36" s="39"/>
      <c r="K36" s="39"/>
      <c r="L36" s="37"/>
      <c r="M36" s="37"/>
      <c r="N36" s="37"/>
      <c r="O36" s="37"/>
      <c r="P36" s="38"/>
    </row>
    <row r="37" spans="1:16" x14ac:dyDescent="0.3">
      <c r="A37" s="28" t="s">
        <v>26</v>
      </c>
      <c r="B37" s="37"/>
      <c r="C37" s="37"/>
      <c r="D37" s="31"/>
      <c r="E37" s="31"/>
      <c r="F37" s="31"/>
      <c r="G37" s="31"/>
      <c r="H37" s="37"/>
      <c r="I37" s="37"/>
      <c r="J37" s="37"/>
      <c r="K37" s="37"/>
      <c r="L37" s="37"/>
      <c r="M37" s="37"/>
      <c r="N37" s="37"/>
      <c r="O37" s="37"/>
      <c r="P37" s="38"/>
    </row>
    <row r="38" spans="1:16" x14ac:dyDescent="0.3">
      <c r="A38" s="40" t="s">
        <v>46</v>
      </c>
      <c r="B38" s="39"/>
      <c r="C38" s="39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9"/>
      <c r="O38" s="39"/>
      <c r="P38" s="38"/>
    </row>
  </sheetData>
  <mergeCells count="46">
    <mergeCell ref="N23:O23"/>
    <mergeCell ref="B24:C24"/>
    <mergeCell ref="D24:E24"/>
    <mergeCell ref="F24:G24"/>
    <mergeCell ref="H24:I24"/>
    <mergeCell ref="J24:K24"/>
    <mergeCell ref="L24:M24"/>
    <mergeCell ref="N24:O24"/>
    <mergeCell ref="B23:C23"/>
    <mergeCell ref="D23:E23"/>
    <mergeCell ref="F23:G23"/>
    <mergeCell ref="H23:I23"/>
    <mergeCell ref="J23:K23"/>
    <mergeCell ref="L23:M23"/>
    <mergeCell ref="B20:P20"/>
    <mergeCell ref="B21:P21"/>
    <mergeCell ref="B22:C22"/>
    <mergeCell ref="D22:E22"/>
    <mergeCell ref="F22:G22"/>
    <mergeCell ref="H22:I22"/>
    <mergeCell ref="J22:K22"/>
    <mergeCell ref="L22:M22"/>
    <mergeCell ref="N22:O22"/>
    <mergeCell ref="N4:O4"/>
    <mergeCell ref="B5:C5"/>
    <mergeCell ref="D5:E5"/>
    <mergeCell ref="F5:G5"/>
    <mergeCell ref="H5:I5"/>
    <mergeCell ref="J5:K5"/>
    <mergeCell ref="L5:M5"/>
    <mergeCell ref="N5:O5"/>
    <mergeCell ref="B4:C4"/>
    <mergeCell ref="D4:E4"/>
    <mergeCell ref="F4:G4"/>
    <mergeCell ref="H4:I4"/>
    <mergeCell ref="J4:K4"/>
    <mergeCell ref="L4:M4"/>
    <mergeCell ref="B1:P1"/>
    <mergeCell ref="B2:P2"/>
    <mergeCell ref="B3:C3"/>
    <mergeCell ref="D3:E3"/>
    <mergeCell ref="F3:G3"/>
    <mergeCell ref="H3:I3"/>
    <mergeCell ref="J3:K3"/>
    <mergeCell ref="L3:M3"/>
    <mergeCell ref="N3:O3"/>
  </mergeCells>
  <pageMargins left="0.25" right="0.25" top="0.75" bottom="0.75" header="0.3" footer="0.3"/>
  <pageSetup paperSize="9" scale="43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ED112-EE4E-4D69-9CBF-3C4A18AC710C}">
  <sheetPr>
    <pageSetUpPr fitToPage="1"/>
  </sheetPr>
  <dimension ref="A1:AC38"/>
  <sheetViews>
    <sheetView workbookViewId="0">
      <selection activeCell="B7" sqref="B7:K7"/>
    </sheetView>
  </sheetViews>
  <sheetFormatPr baseColWidth="10" defaultRowHeight="14.4" x14ac:dyDescent="0.3"/>
  <sheetData>
    <row r="1" spans="1:29" ht="15" thickBot="1" x14ac:dyDescent="0.35">
      <c r="A1" s="1" cm="1">
        <f t="array" aca="1" ref="A1" ca="1">A1:P35</f>
        <v>0</v>
      </c>
      <c r="B1" s="62" t="s">
        <v>0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3"/>
    </row>
    <row r="2" spans="1:29" ht="15" thickBot="1" x14ac:dyDescent="0.35">
      <c r="A2" s="22"/>
      <c r="B2" s="62" t="str">
        <f ca="1">"SEMAINE "&amp;_xlfn.SHEET()</f>
        <v>SEMAINE 19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3"/>
    </row>
    <row r="3" spans="1:29" x14ac:dyDescent="0.3">
      <c r="A3" s="23"/>
      <c r="B3" s="64" t="s">
        <v>1</v>
      </c>
      <c r="C3" s="65"/>
      <c r="D3" s="64" t="s">
        <v>2</v>
      </c>
      <c r="E3" s="65"/>
      <c r="F3" s="64" t="s">
        <v>3</v>
      </c>
      <c r="G3" s="65"/>
      <c r="H3" s="64" t="s">
        <v>4</v>
      </c>
      <c r="I3" s="65"/>
      <c r="J3" s="64" t="s">
        <v>5</v>
      </c>
      <c r="K3" s="65"/>
      <c r="L3" s="64" t="s">
        <v>6</v>
      </c>
      <c r="M3" s="65"/>
      <c r="N3" s="64" t="s">
        <v>7</v>
      </c>
      <c r="O3" s="65"/>
      <c r="P3" s="24" t="s">
        <v>8</v>
      </c>
      <c r="W3" s="25" t="e">
        <f t="shared" ref="W3:W20" si="0">C3-B3</f>
        <v>#VALUE!</v>
      </c>
      <c r="X3" s="25" t="e">
        <f t="shared" ref="X3:X20" si="1">E3-D3</f>
        <v>#VALUE!</v>
      </c>
      <c r="Y3" s="25" t="e">
        <f t="shared" ref="Y3:Y20" si="2">G3-F3</f>
        <v>#VALUE!</v>
      </c>
      <c r="Z3" s="25" t="e">
        <f t="shared" ref="Z3:Z20" si="3">I3-H3</f>
        <v>#VALUE!</v>
      </c>
      <c r="AA3" s="25" t="e">
        <f t="shared" ref="AA3:AA20" si="4">K3-J3</f>
        <v>#VALUE!</v>
      </c>
      <c r="AB3" s="25" t="e">
        <f t="shared" ref="AB3:AB20" si="5">M3-L3</f>
        <v>#VALUE!</v>
      </c>
      <c r="AC3" s="25" t="e">
        <f t="shared" ref="AC3:AC20" si="6">O3-N3</f>
        <v>#VALUE!</v>
      </c>
    </row>
    <row r="4" spans="1:29" x14ac:dyDescent="0.3">
      <c r="A4" s="26"/>
      <c r="B4" s="66">
        <v>46146</v>
      </c>
      <c r="C4" s="66"/>
      <c r="D4" s="58">
        <v>46147</v>
      </c>
      <c r="E4" s="59"/>
      <c r="F4" s="58">
        <v>46148</v>
      </c>
      <c r="G4" s="59"/>
      <c r="H4" s="58">
        <v>46149</v>
      </c>
      <c r="I4" s="59"/>
      <c r="J4" s="58">
        <v>46150</v>
      </c>
      <c r="K4" s="59"/>
      <c r="L4" s="58">
        <v>46151</v>
      </c>
      <c r="M4" s="59"/>
      <c r="N4" s="58">
        <v>46152</v>
      </c>
      <c r="O4" s="59"/>
      <c r="P4" s="27"/>
      <c r="W4" s="25">
        <f t="shared" si="0"/>
        <v>-46146</v>
      </c>
      <c r="X4" s="25">
        <f t="shared" si="1"/>
        <v>-46147</v>
      </c>
      <c r="Y4" s="25">
        <f t="shared" si="2"/>
        <v>-46148</v>
      </c>
      <c r="Z4" s="25">
        <f t="shared" si="3"/>
        <v>-46149</v>
      </c>
      <c r="AA4" s="25">
        <f t="shared" si="4"/>
        <v>-46150</v>
      </c>
      <c r="AB4" s="25">
        <f t="shared" si="5"/>
        <v>-46151</v>
      </c>
      <c r="AC4" s="25">
        <f t="shared" si="6"/>
        <v>-46152</v>
      </c>
    </row>
    <row r="5" spans="1:29" x14ac:dyDescent="0.3">
      <c r="A5" s="28" t="s">
        <v>9</v>
      </c>
      <c r="B5" s="58"/>
      <c r="C5" s="59"/>
      <c r="D5" s="58"/>
      <c r="E5" s="59"/>
      <c r="F5" s="58"/>
      <c r="G5" s="59"/>
      <c r="H5" s="58"/>
      <c r="I5" s="59"/>
      <c r="J5" s="58"/>
      <c r="K5" s="59"/>
      <c r="L5" s="58"/>
      <c r="M5" s="59"/>
      <c r="N5" s="58"/>
      <c r="O5" s="59"/>
      <c r="P5" s="27"/>
      <c r="W5" s="25">
        <f t="shared" si="0"/>
        <v>0</v>
      </c>
      <c r="X5" s="25">
        <f t="shared" si="1"/>
        <v>0</v>
      </c>
      <c r="Y5" s="25">
        <f t="shared" si="2"/>
        <v>0</v>
      </c>
      <c r="Z5" s="25">
        <f t="shared" si="3"/>
        <v>0</v>
      </c>
      <c r="AA5" s="25">
        <f t="shared" si="4"/>
        <v>0</v>
      </c>
      <c r="AB5" s="25">
        <f t="shared" si="5"/>
        <v>0</v>
      </c>
      <c r="AC5" s="25">
        <f t="shared" si="6"/>
        <v>0</v>
      </c>
    </row>
    <row r="6" spans="1:29" x14ac:dyDescent="0.3">
      <c r="A6" s="29" t="s">
        <v>10</v>
      </c>
      <c r="B6" s="30">
        <v>0.41666666666666669</v>
      </c>
      <c r="C6" s="30">
        <v>0.70833333333333337</v>
      </c>
      <c r="D6" s="30">
        <v>0.39583333333333331</v>
      </c>
      <c r="E6" s="30">
        <v>0.72916666666666663</v>
      </c>
      <c r="F6" s="30">
        <v>0.375</v>
      </c>
      <c r="G6" s="30">
        <v>0.72916666666666663</v>
      </c>
      <c r="H6" s="30">
        <v>0.41666666666666669</v>
      </c>
      <c r="I6" s="30">
        <v>0.72916666666666663</v>
      </c>
      <c r="J6" s="31"/>
      <c r="K6" s="31"/>
      <c r="L6" s="31"/>
      <c r="M6" s="31"/>
      <c r="N6" s="31"/>
      <c r="O6" s="31"/>
      <c r="P6" s="32">
        <f t="shared" ref="P6:P11" si="7">W6+X6+Y6+Z6+AA6+AB6+AC6</f>
        <v>1.2916666666666665</v>
      </c>
      <c r="W6" s="25">
        <f t="shared" si="0"/>
        <v>0.29166666666666669</v>
      </c>
      <c r="X6" s="25">
        <f t="shared" si="1"/>
        <v>0.33333333333333331</v>
      </c>
      <c r="Y6" s="25">
        <f t="shared" si="2"/>
        <v>0.35416666666666663</v>
      </c>
      <c r="Z6" s="25">
        <f t="shared" si="3"/>
        <v>0.31249999999999994</v>
      </c>
      <c r="AA6" s="25">
        <f>K6-J6</f>
        <v>0</v>
      </c>
      <c r="AB6" s="25">
        <f>M6-L6</f>
        <v>0</v>
      </c>
      <c r="AC6" s="25">
        <f t="shared" si="6"/>
        <v>0</v>
      </c>
    </row>
    <row r="7" spans="1:29" x14ac:dyDescent="0.3">
      <c r="A7" s="33" t="s">
        <v>12</v>
      </c>
      <c r="B7" s="34">
        <v>0.41666666666666669</v>
      </c>
      <c r="C7" s="34">
        <v>0.70833333333333337</v>
      </c>
      <c r="D7" s="34">
        <v>0.41666666666666669</v>
      </c>
      <c r="E7" s="34">
        <v>0.70833333333333337</v>
      </c>
      <c r="F7" s="34">
        <v>0.41666666666666669</v>
      </c>
      <c r="G7" s="34">
        <v>0.70833333333333337</v>
      </c>
      <c r="H7" s="34">
        <v>0.41666666666666669</v>
      </c>
      <c r="I7" s="34">
        <v>0.70833333333333337</v>
      </c>
      <c r="J7" s="34">
        <v>0.41666666666666669</v>
      </c>
      <c r="K7" s="34">
        <v>0.70833333333333337</v>
      </c>
      <c r="L7" s="31"/>
      <c r="M7" s="31"/>
      <c r="N7" s="31"/>
      <c r="O7" s="31"/>
      <c r="P7" s="32">
        <f t="shared" si="7"/>
        <v>1.4583333333333335</v>
      </c>
      <c r="W7" s="25">
        <f t="shared" si="0"/>
        <v>0.29166666666666669</v>
      </c>
      <c r="X7" s="25">
        <f t="shared" si="1"/>
        <v>0.29166666666666669</v>
      </c>
      <c r="Y7" s="25">
        <f t="shared" si="2"/>
        <v>0.29166666666666669</v>
      </c>
      <c r="Z7" s="25">
        <f t="shared" si="3"/>
        <v>0.29166666666666669</v>
      </c>
      <c r="AA7" s="25">
        <f t="shared" si="4"/>
        <v>0.29166666666666669</v>
      </c>
      <c r="AB7" s="25">
        <f t="shared" si="5"/>
        <v>0</v>
      </c>
      <c r="AC7" s="25">
        <f t="shared" si="6"/>
        <v>0</v>
      </c>
    </row>
    <row r="8" spans="1:29" x14ac:dyDescent="0.3">
      <c r="A8" s="28" t="s">
        <v>36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4">
        <v>0.48958333333333331</v>
      </c>
      <c r="M8" s="34">
        <v>0.63541666666666663</v>
      </c>
      <c r="N8" s="34">
        <v>0.48958333333333331</v>
      </c>
      <c r="O8" s="34">
        <v>0.63541666666666663</v>
      </c>
      <c r="P8" s="32">
        <f t="shared" si="7"/>
        <v>0.29166666666666663</v>
      </c>
      <c r="W8" s="25">
        <f t="shared" si="0"/>
        <v>0</v>
      </c>
      <c r="X8" s="25">
        <f t="shared" si="1"/>
        <v>0</v>
      </c>
      <c r="Y8" s="25">
        <f t="shared" si="2"/>
        <v>0</v>
      </c>
      <c r="Z8" s="25">
        <f t="shared" si="3"/>
        <v>0</v>
      </c>
      <c r="AA8" s="25">
        <f t="shared" si="4"/>
        <v>0</v>
      </c>
      <c r="AB8" s="25">
        <f t="shared" si="5"/>
        <v>0.14583333333333331</v>
      </c>
      <c r="AC8" s="25">
        <f t="shared" si="6"/>
        <v>0.14583333333333331</v>
      </c>
    </row>
    <row r="9" spans="1:29" x14ac:dyDescent="0.3">
      <c r="A9" s="28" t="s">
        <v>37</v>
      </c>
      <c r="B9" s="34">
        <v>0.39583333333333331</v>
      </c>
      <c r="C9" s="34">
        <v>0.72916666666666663</v>
      </c>
      <c r="D9" s="34">
        <v>0.39583333333333331</v>
      </c>
      <c r="E9" s="34">
        <v>0.70833333333333337</v>
      </c>
      <c r="F9" s="34">
        <v>0.375</v>
      </c>
      <c r="G9" s="34">
        <v>0.72916666666666663</v>
      </c>
      <c r="H9" s="31"/>
      <c r="I9" s="31"/>
      <c r="J9" s="31"/>
      <c r="K9" s="31"/>
      <c r="L9" s="34">
        <v>0.39583333333333331</v>
      </c>
      <c r="M9" s="34">
        <v>0.70833333333333337</v>
      </c>
      <c r="N9" s="34">
        <v>0.39583333333333331</v>
      </c>
      <c r="O9" s="34">
        <v>0.70833333333333337</v>
      </c>
      <c r="P9" s="32">
        <f t="shared" si="7"/>
        <v>1.625</v>
      </c>
      <c r="W9" s="25">
        <f t="shared" si="0"/>
        <v>0.33333333333333331</v>
      </c>
      <c r="X9" s="25">
        <f t="shared" si="1"/>
        <v>0.31250000000000006</v>
      </c>
      <c r="Y9" s="25">
        <f t="shared" si="2"/>
        <v>0.35416666666666663</v>
      </c>
      <c r="Z9" s="25">
        <f t="shared" si="3"/>
        <v>0</v>
      </c>
      <c r="AA9" s="25">
        <f t="shared" si="4"/>
        <v>0</v>
      </c>
      <c r="AB9" s="25">
        <f t="shared" si="5"/>
        <v>0.31250000000000006</v>
      </c>
      <c r="AC9" s="25">
        <f t="shared" si="6"/>
        <v>0.31250000000000006</v>
      </c>
    </row>
    <row r="10" spans="1:29" x14ac:dyDescent="0.3">
      <c r="A10" s="28" t="s">
        <v>42</v>
      </c>
      <c r="B10" s="34">
        <v>0.39583333333333331</v>
      </c>
      <c r="C10" s="34">
        <v>0.72916666666666663</v>
      </c>
      <c r="D10" s="31"/>
      <c r="E10" s="31"/>
      <c r="F10" s="31"/>
      <c r="G10" s="31"/>
      <c r="H10" s="34">
        <v>0.39583333333333331</v>
      </c>
      <c r="I10" s="34">
        <v>0.70833333333333337</v>
      </c>
      <c r="J10" s="34">
        <v>0.39583333333333331</v>
      </c>
      <c r="K10" s="34">
        <v>0.72916666666666663</v>
      </c>
      <c r="L10" s="34">
        <v>0.39583333333333331</v>
      </c>
      <c r="M10" s="34">
        <v>0.72916666666666663</v>
      </c>
      <c r="N10" s="34">
        <v>0.39583333333333331</v>
      </c>
      <c r="O10" s="34">
        <v>0.70833333333333337</v>
      </c>
      <c r="P10" s="32">
        <f t="shared" si="7"/>
        <v>1.625</v>
      </c>
      <c r="W10" s="25">
        <f t="shared" si="0"/>
        <v>0.33333333333333331</v>
      </c>
      <c r="X10" s="25">
        <f t="shared" si="1"/>
        <v>0</v>
      </c>
      <c r="Y10" s="25">
        <f t="shared" si="2"/>
        <v>0</v>
      </c>
      <c r="Z10" s="25">
        <f t="shared" si="3"/>
        <v>0.31250000000000006</v>
      </c>
      <c r="AA10" s="25">
        <f t="shared" si="4"/>
        <v>0.33333333333333331</v>
      </c>
      <c r="AB10" s="25">
        <f t="shared" si="5"/>
        <v>0.33333333333333331</v>
      </c>
      <c r="AC10" s="25">
        <f t="shared" si="6"/>
        <v>0.31250000000000006</v>
      </c>
    </row>
    <row r="11" spans="1:29" x14ac:dyDescent="0.3">
      <c r="A11" s="28" t="s">
        <v>14</v>
      </c>
      <c r="B11" s="34">
        <v>0.39583333333333331</v>
      </c>
      <c r="C11" s="34">
        <v>0.70833333333333337</v>
      </c>
      <c r="D11" s="34">
        <v>0.39583333333333331</v>
      </c>
      <c r="E11" s="34">
        <v>0.72916666666666663</v>
      </c>
      <c r="F11" s="31"/>
      <c r="G11" s="31"/>
      <c r="H11" s="31"/>
      <c r="I11" s="31"/>
      <c r="J11" s="34">
        <v>0.375</v>
      </c>
      <c r="K11" s="34">
        <v>0.70833333333333337</v>
      </c>
      <c r="L11" s="34">
        <v>0.39583333333333331</v>
      </c>
      <c r="M11" s="34">
        <v>0.72916666666666663</v>
      </c>
      <c r="N11" s="34">
        <v>0.39583333333333331</v>
      </c>
      <c r="O11" s="34">
        <v>0.70833333333333337</v>
      </c>
      <c r="P11" s="32">
        <f t="shared" si="7"/>
        <v>1.625</v>
      </c>
      <c r="W11" s="25">
        <f t="shared" si="0"/>
        <v>0.31250000000000006</v>
      </c>
      <c r="X11" s="25">
        <f t="shared" si="1"/>
        <v>0.33333333333333331</v>
      </c>
      <c r="Y11" s="25">
        <f t="shared" si="2"/>
        <v>0</v>
      </c>
      <c r="Z11" s="25">
        <f t="shared" si="3"/>
        <v>0</v>
      </c>
      <c r="AA11" s="25">
        <f t="shared" si="4"/>
        <v>0.33333333333333337</v>
      </c>
      <c r="AB11" s="25">
        <f t="shared" si="5"/>
        <v>0.33333333333333331</v>
      </c>
      <c r="AC11" s="25">
        <f t="shared" si="6"/>
        <v>0.31250000000000006</v>
      </c>
    </row>
    <row r="12" spans="1:29" x14ac:dyDescent="0.3">
      <c r="A12" s="28" t="s">
        <v>45</v>
      </c>
      <c r="B12" s="31"/>
      <c r="C12" s="31"/>
      <c r="D12" s="14">
        <v>0.41666666666666669</v>
      </c>
      <c r="E12" s="14">
        <v>0.70833333333333337</v>
      </c>
      <c r="F12" s="14">
        <v>0.375</v>
      </c>
      <c r="G12" s="14">
        <v>0.75</v>
      </c>
      <c r="H12" s="14">
        <v>0.39583333333333331</v>
      </c>
      <c r="I12" s="14">
        <v>0.72916666666666663</v>
      </c>
      <c r="J12" s="14">
        <v>0.375</v>
      </c>
      <c r="K12" s="14">
        <v>0.70833333333333337</v>
      </c>
      <c r="L12" s="14">
        <v>0.41666666666666669</v>
      </c>
      <c r="M12" s="14">
        <v>0.70833333333333337</v>
      </c>
      <c r="N12" s="31"/>
      <c r="O12" s="31"/>
      <c r="P12" s="38">
        <f>W12+X12+Y12+Z12+AA12+AB12+AC12</f>
        <v>1.6250000000000002</v>
      </c>
      <c r="W12" s="25">
        <f t="shared" si="0"/>
        <v>0</v>
      </c>
      <c r="X12" s="25">
        <f t="shared" si="1"/>
        <v>0.29166666666666669</v>
      </c>
      <c r="Y12" s="25">
        <f t="shared" si="2"/>
        <v>0.375</v>
      </c>
      <c r="Z12" s="25">
        <f t="shared" si="3"/>
        <v>0.33333333333333331</v>
      </c>
      <c r="AA12" s="25">
        <f t="shared" si="4"/>
        <v>0.33333333333333337</v>
      </c>
      <c r="AB12" s="25">
        <f t="shared" si="5"/>
        <v>0.29166666666666669</v>
      </c>
      <c r="AC12" s="25">
        <f t="shared" si="6"/>
        <v>0</v>
      </c>
    </row>
    <row r="13" spans="1:29" x14ac:dyDescent="0.3">
      <c r="A13" s="35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51"/>
      <c r="W13" s="25">
        <f t="shared" si="0"/>
        <v>0</v>
      </c>
      <c r="X13" s="25">
        <f t="shared" si="1"/>
        <v>0</v>
      </c>
      <c r="Y13" s="25">
        <f t="shared" si="2"/>
        <v>0</v>
      </c>
      <c r="Z13" s="25">
        <f t="shared" si="3"/>
        <v>0</v>
      </c>
      <c r="AA13" s="25">
        <f t="shared" si="4"/>
        <v>0</v>
      </c>
      <c r="AB13" s="25">
        <f t="shared" si="5"/>
        <v>0</v>
      </c>
      <c r="AC13" s="25">
        <f t="shared" si="6"/>
        <v>0</v>
      </c>
    </row>
    <row r="14" spans="1:29" x14ac:dyDescent="0.3">
      <c r="A14" s="29" t="s">
        <v>16</v>
      </c>
      <c r="B14" s="31"/>
      <c r="C14" s="31"/>
      <c r="D14" s="37">
        <v>0.70833333333333337</v>
      </c>
      <c r="E14" s="37">
        <v>1.0625</v>
      </c>
      <c r="F14" s="37">
        <v>0.72916666666666663</v>
      </c>
      <c r="G14" s="37">
        <v>1.0625</v>
      </c>
      <c r="H14" s="37">
        <v>0.70833333333333304</v>
      </c>
      <c r="I14" s="37">
        <v>1.0625</v>
      </c>
      <c r="J14" s="37">
        <v>0.70833333333333304</v>
      </c>
      <c r="K14" s="37">
        <v>1.0625</v>
      </c>
      <c r="L14" s="37">
        <v>0.70833333333333304</v>
      </c>
      <c r="M14" s="37">
        <v>1.0625</v>
      </c>
      <c r="N14" s="31"/>
      <c r="O14" s="31"/>
      <c r="P14" s="38">
        <f t="shared" ref="P14:P19" si="8">W14+X14+Y14+Z14+AA14+AB14+AC14</f>
        <v>1.7500000000000009</v>
      </c>
      <c r="W14" s="25">
        <f t="shared" si="0"/>
        <v>0</v>
      </c>
      <c r="X14" s="25">
        <f t="shared" si="1"/>
        <v>0.35416666666666663</v>
      </c>
      <c r="Y14" s="25">
        <f t="shared" si="2"/>
        <v>0.33333333333333337</v>
      </c>
      <c r="Z14" s="25">
        <f t="shared" si="3"/>
        <v>0.35416666666666696</v>
      </c>
      <c r="AA14" s="25">
        <f t="shared" si="4"/>
        <v>0.35416666666666696</v>
      </c>
      <c r="AB14" s="25">
        <f t="shared" si="5"/>
        <v>0.35416666666666696</v>
      </c>
      <c r="AC14" s="25">
        <f t="shared" si="6"/>
        <v>0</v>
      </c>
    </row>
    <row r="15" spans="1:29" x14ac:dyDescent="0.3">
      <c r="A15" s="29" t="s">
        <v>17</v>
      </c>
      <c r="B15" s="37">
        <v>0.70833333333333337</v>
      </c>
      <c r="C15" s="37">
        <v>1.0208333333333299</v>
      </c>
      <c r="D15" s="31"/>
      <c r="E15" s="31"/>
      <c r="F15" s="31"/>
      <c r="G15" s="31"/>
      <c r="H15" s="37">
        <v>0.70833333333333337</v>
      </c>
      <c r="I15" s="37">
        <v>1.0625</v>
      </c>
      <c r="J15" s="37">
        <v>0.70833333333333304</v>
      </c>
      <c r="K15" s="37">
        <v>1.0625</v>
      </c>
      <c r="L15" s="37">
        <v>0.6875</v>
      </c>
      <c r="M15" s="37">
        <v>1.0625</v>
      </c>
      <c r="N15" s="37">
        <v>0.66666666666666663</v>
      </c>
      <c r="O15" s="37">
        <v>1.0208333333333333</v>
      </c>
      <c r="P15" s="38">
        <f t="shared" si="8"/>
        <v>1.7499999999999969</v>
      </c>
      <c r="W15" s="25">
        <f t="shared" si="0"/>
        <v>0.31249999999999656</v>
      </c>
      <c r="X15" s="25">
        <f>E15-D15</f>
        <v>0</v>
      </c>
      <c r="Y15" s="25">
        <f t="shared" si="2"/>
        <v>0</v>
      </c>
      <c r="Z15" s="25">
        <f t="shared" si="3"/>
        <v>0.35416666666666663</v>
      </c>
      <c r="AA15" s="25">
        <f t="shared" si="4"/>
        <v>0.35416666666666696</v>
      </c>
      <c r="AB15" s="25">
        <f t="shared" si="5"/>
        <v>0.375</v>
      </c>
      <c r="AC15" s="25">
        <f t="shared" si="6"/>
        <v>0.35416666666666663</v>
      </c>
    </row>
    <row r="16" spans="1:29" x14ac:dyDescent="0.3">
      <c r="A16" s="29" t="s">
        <v>21</v>
      </c>
      <c r="B16" s="39"/>
      <c r="C16" s="39"/>
      <c r="D16" s="37">
        <v>0.70833333333333337</v>
      </c>
      <c r="E16" s="37">
        <v>1.0625</v>
      </c>
      <c r="F16" s="37">
        <v>0.70833333333333337</v>
      </c>
      <c r="G16" s="37">
        <v>1.0625</v>
      </c>
      <c r="H16" s="37">
        <v>0.72916666666666663</v>
      </c>
      <c r="I16" s="37">
        <v>1.0625</v>
      </c>
      <c r="J16" s="37">
        <v>0.70833333333333337</v>
      </c>
      <c r="K16" s="37">
        <v>1.0625</v>
      </c>
      <c r="L16" s="37">
        <v>0.70833333333333337</v>
      </c>
      <c r="M16" s="37">
        <v>1.0625</v>
      </c>
      <c r="N16" s="31"/>
      <c r="O16" s="31"/>
      <c r="P16" s="38">
        <f t="shared" si="8"/>
        <v>1.7499999999999996</v>
      </c>
      <c r="W16" s="25">
        <f t="shared" si="0"/>
        <v>0</v>
      </c>
      <c r="X16" s="25">
        <f t="shared" si="1"/>
        <v>0.35416666666666663</v>
      </c>
      <c r="Y16" s="25">
        <f t="shared" si="2"/>
        <v>0.35416666666666663</v>
      </c>
      <c r="Z16" s="25">
        <f t="shared" si="3"/>
        <v>0.33333333333333337</v>
      </c>
      <c r="AA16" s="25">
        <f t="shared" si="4"/>
        <v>0.35416666666666663</v>
      </c>
      <c r="AB16" s="25">
        <f t="shared" si="5"/>
        <v>0.35416666666666663</v>
      </c>
      <c r="AC16" s="25">
        <f t="shared" si="6"/>
        <v>0</v>
      </c>
    </row>
    <row r="17" spans="1:29" x14ac:dyDescent="0.3">
      <c r="A17" s="40" t="s">
        <v>18</v>
      </c>
      <c r="B17" s="37">
        <v>0.72916666666666663</v>
      </c>
      <c r="C17" s="37">
        <v>1.0208333333333299</v>
      </c>
      <c r="D17" s="37">
        <v>0.70833333333333337</v>
      </c>
      <c r="E17" s="37">
        <v>1.0625</v>
      </c>
      <c r="F17" s="37">
        <v>0.75</v>
      </c>
      <c r="G17" s="37">
        <v>1.0625</v>
      </c>
      <c r="H17" s="39"/>
      <c r="I17" s="39"/>
      <c r="J17" s="39"/>
      <c r="K17" s="39"/>
      <c r="L17" s="37">
        <v>0.70833333333333337</v>
      </c>
      <c r="M17" s="37">
        <v>1.0625</v>
      </c>
      <c r="N17" s="37">
        <v>0.70833333333333337</v>
      </c>
      <c r="O17" s="37">
        <v>1.0208333333333333</v>
      </c>
      <c r="P17" s="38">
        <f t="shared" si="8"/>
        <v>1.6249999999999964</v>
      </c>
      <c r="W17" s="25">
        <f t="shared" si="0"/>
        <v>0.2916666666666633</v>
      </c>
      <c r="X17" s="25">
        <f t="shared" si="1"/>
        <v>0.35416666666666663</v>
      </c>
      <c r="Y17" s="25">
        <f t="shared" si="2"/>
        <v>0.3125</v>
      </c>
      <c r="Z17" s="25">
        <f t="shared" si="3"/>
        <v>0</v>
      </c>
      <c r="AA17" s="25">
        <f t="shared" si="4"/>
        <v>0</v>
      </c>
      <c r="AB17" s="25">
        <f t="shared" si="5"/>
        <v>0.35416666666666663</v>
      </c>
      <c r="AC17" s="25">
        <f t="shared" si="6"/>
        <v>0.31249999999999989</v>
      </c>
    </row>
    <row r="18" spans="1:29" x14ac:dyDescent="0.3">
      <c r="A18" s="28" t="s">
        <v>26</v>
      </c>
      <c r="B18" s="37">
        <v>0.72916666666666663</v>
      </c>
      <c r="C18" s="37">
        <v>1.0208333333333333</v>
      </c>
      <c r="D18" s="31"/>
      <c r="E18" s="31"/>
      <c r="F18" s="31"/>
      <c r="G18" s="31"/>
      <c r="H18" s="37">
        <v>0.75</v>
      </c>
      <c r="I18" s="37">
        <v>1.0625</v>
      </c>
      <c r="J18" s="37">
        <v>0.75</v>
      </c>
      <c r="K18" s="37">
        <v>1.0625</v>
      </c>
      <c r="L18" s="37">
        <v>0.70833333333333337</v>
      </c>
      <c r="M18" s="37">
        <v>1.0625</v>
      </c>
      <c r="N18" s="37">
        <v>0.66666666666666663</v>
      </c>
      <c r="O18" s="37">
        <v>1.0208333333333333</v>
      </c>
      <c r="P18" s="38">
        <f t="shared" si="8"/>
        <v>1.625</v>
      </c>
      <c r="W18" s="25">
        <f t="shared" si="0"/>
        <v>0.29166666666666663</v>
      </c>
      <c r="X18" s="25">
        <f t="shared" si="1"/>
        <v>0</v>
      </c>
      <c r="Y18" s="25">
        <f t="shared" si="2"/>
        <v>0</v>
      </c>
      <c r="Z18" s="25">
        <f t="shared" si="3"/>
        <v>0.3125</v>
      </c>
      <c r="AA18" s="25">
        <f t="shared" si="4"/>
        <v>0.3125</v>
      </c>
      <c r="AB18" s="25">
        <f t="shared" si="5"/>
        <v>0.35416666666666663</v>
      </c>
      <c r="AC18" s="25">
        <f t="shared" si="6"/>
        <v>0.35416666666666663</v>
      </c>
    </row>
    <row r="19" spans="1:29" x14ac:dyDescent="0.3">
      <c r="A19" s="40" t="s">
        <v>46</v>
      </c>
      <c r="B19" s="39"/>
      <c r="C19" s="39"/>
      <c r="D19" s="37">
        <v>0.72916666666666663</v>
      </c>
      <c r="E19" s="37">
        <v>1.0625</v>
      </c>
      <c r="F19" s="37">
        <v>0.75</v>
      </c>
      <c r="G19" s="37">
        <v>1.0625</v>
      </c>
      <c r="H19" s="37">
        <v>0.72916666666666663</v>
      </c>
      <c r="I19" s="37">
        <v>1.0625</v>
      </c>
      <c r="J19" s="37">
        <v>0.75</v>
      </c>
      <c r="K19" s="37">
        <v>1.0625</v>
      </c>
      <c r="L19" s="37">
        <v>0.72916666666666663</v>
      </c>
      <c r="M19" s="37">
        <v>1.0625</v>
      </c>
      <c r="N19" s="39"/>
      <c r="O19" s="39"/>
      <c r="P19" s="38">
        <f t="shared" si="8"/>
        <v>1.625</v>
      </c>
      <c r="W19" s="25">
        <f t="shared" si="0"/>
        <v>0</v>
      </c>
      <c r="X19" s="25">
        <f t="shared" si="1"/>
        <v>0.33333333333333337</v>
      </c>
      <c r="Y19" s="25">
        <f t="shared" si="2"/>
        <v>0.3125</v>
      </c>
      <c r="Z19" s="25">
        <f t="shared" si="3"/>
        <v>0.33333333333333337</v>
      </c>
      <c r="AA19" s="25">
        <f t="shared" si="4"/>
        <v>0.3125</v>
      </c>
      <c r="AB19" s="25">
        <f t="shared" si="5"/>
        <v>0.33333333333333337</v>
      </c>
      <c r="AC19" s="25">
        <f t="shared" si="6"/>
        <v>0</v>
      </c>
    </row>
    <row r="20" spans="1:29" ht="15" thickBot="1" x14ac:dyDescent="0.35">
      <c r="A20" s="52" t="e" cm="1">
        <f t="array" ref="A20">+A20:PA20:P+A20:P363628A1:P2A1:P47</f>
        <v>#NAME?</v>
      </c>
      <c r="B20" s="60" t="s">
        <v>0</v>
      </c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1"/>
      <c r="W20" s="25" t="e">
        <f t="shared" si="0"/>
        <v>#VALUE!</v>
      </c>
      <c r="X20" s="25">
        <f t="shared" si="1"/>
        <v>0</v>
      </c>
      <c r="Y20" s="25">
        <f t="shared" si="2"/>
        <v>0</v>
      </c>
      <c r="Z20" s="25">
        <f t="shared" si="3"/>
        <v>0</v>
      </c>
      <c r="AA20" s="25">
        <f t="shared" si="4"/>
        <v>0</v>
      </c>
      <c r="AB20" s="25">
        <f t="shared" si="5"/>
        <v>0</v>
      </c>
      <c r="AC20" s="25">
        <f t="shared" si="6"/>
        <v>0</v>
      </c>
    </row>
    <row r="21" spans="1:29" ht="15" thickBot="1" x14ac:dyDescent="0.35">
      <c r="A21" s="53"/>
      <c r="B21" s="62" t="str">
        <f ca="1">B2</f>
        <v>SEMAINE 19</v>
      </c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3"/>
    </row>
    <row r="22" spans="1:29" x14ac:dyDescent="0.3">
      <c r="A22" s="23"/>
      <c r="B22" s="64" t="s">
        <v>1</v>
      </c>
      <c r="C22" s="65"/>
      <c r="D22" s="64" t="s">
        <v>2</v>
      </c>
      <c r="E22" s="65"/>
      <c r="F22" s="64" t="s">
        <v>3</v>
      </c>
      <c r="G22" s="65"/>
      <c r="H22" s="64" t="s">
        <v>4</v>
      </c>
      <c r="I22" s="65"/>
      <c r="J22" s="64" t="s">
        <v>5</v>
      </c>
      <c r="K22" s="65"/>
      <c r="L22" s="64" t="s">
        <v>6</v>
      </c>
      <c r="M22" s="65"/>
      <c r="N22" s="64" t="s">
        <v>7</v>
      </c>
      <c r="O22" s="65"/>
      <c r="P22" s="24" t="s">
        <v>8</v>
      </c>
    </row>
    <row r="23" spans="1:29" x14ac:dyDescent="0.3">
      <c r="A23" s="26"/>
      <c r="B23" s="58">
        <f>B4</f>
        <v>46146</v>
      </c>
      <c r="C23" s="59"/>
      <c r="D23" s="58">
        <f>D4</f>
        <v>46147</v>
      </c>
      <c r="E23" s="59"/>
      <c r="F23" s="58">
        <f>F4</f>
        <v>46148</v>
      </c>
      <c r="G23" s="59"/>
      <c r="H23" s="58">
        <f>H4</f>
        <v>46149</v>
      </c>
      <c r="I23" s="59"/>
      <c r="J23" s="58">
        <f>J4</f>
        <v>46150</v>
      </c>
      <c r="K23" s="59"/>
      <c r="L23" s="58">
        <f>L4</f>
        <v>46151</v>
      </c>
      <c r="M23" s="59"/>
      <c r="N23" s="58">
        <f>N4</f>
        <v>46152</v>
      </c>
      <c r="O23" s="59"/>
      <c r="P23" s="27"/>
    </row>
    <row r="24" spans="1:29" x14ac:dyDescent="0.3">
      <c r="A24" s="28" t="s">
        <v>9</v>
      </c>
      <c r="B24" s="58"/>
      <c r="C24" s="59"/>
      <c r="D24" s="58"/>
      <c r="E24" s="59"/>
      <c r="F24" s="58"/>
      <c r="G24" s="59"/>
      <c r="H24" s="58"/>
      <c r="I24" s="59"/>
      <c r="J24" s="58"/>
      <c r="K24" s="59"/>
      <c r="L24" s="58"/>
      <c r="M24" s="59"/>
      <c r="N24" s="58"/>
      <c r="O24" s="59"/>
      <c r="P24" s="27"/>
    </row>
    <row r="25" spans="1:29" x14ac:dyDescent="0.3">
      <c r="A25" s="29" t="s">
        <v>10</v>
      </c>
      <c r="B25" s="30"/>
      <c r="C25" s="30"/>
      <c r="D25" s="30"/>
      <c r="E25" s="30"/>
      <c r="F25" s="30"/>
      <c r="G25" s="30"/>
      <c r="H25" s="30"/>
      <c r="I25" s="30"/>
      <c r="J25" s="31"/>
      <c r="K25" s="31"/>
      <c r="L25" s="31"/>
      <c r="M25" s="31"/>
      <c r="N25" s="31"/>
      <c r="O25" s="31"/>
      <c r="P25" s="32"/>
    </row>
    <row r="26" spans="1:29" x14ac:dyDescent="0.3">
      <c r="A26" s="33" t="s">
        <v>12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31"/>
      <c r="M26" s="31"/>
      <c r="N26" s="31"/>
      <c r="O26" s="31"/>
      <c r="P26" s="32"/>
    </row>
    <row r="27" spans="1:29" x14ac:dyDescent="0.3">
      <c r="A27" s="28" t="s">
        <v>36</v>
      </c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4"/>
      <c r="M27" s="34"/>
      <c r="N27" s="34"/>
      <c r="O27" s="34"/>
      <c r="P27" s="32"/>
    </row>
    <row r="28" spans="1:29" x14ac:dyDescent="0.3">
      <c r="A28" s="28" t="s">
        <v>37</v>
      </c>
      <c r="B28" s="34"/>
      <c r="C28" s="34"/>
      <c r="D28" s="34"/>
      <c r="E28" s="34"/>
      <c r="F28" s="34"/>
      <c r="G28" s="34"/>
      <c r="H28" s="31"/>
      <c r="I28" s="31"/>
      <c r="J28" s="31"/>
      <c r="K28" s="31"/>
      <c r="L28" s="34"/>
      <c r="M28" s="34"/>
      <c r="N28" s="34"/>
      <c r="O28" s="34"/>
      <c r="P28" s="32"/>
    </row>
    <row r="29" spans="1:29" x14ac:dyDescent="0.3">
      <c r="A29" s="28" t="s">
        <v>42</v>
      </c>
      <c r="B29" s="34"/>
      <c r="C29" s="34"/>
      <c r="D29" s="34"/>
      <c r="E29" s="34"/>
      <c r="F29" s="31"/>
      <c r="G29" s="31"/>
      <c r="H29" s="31"/>
      <c r="I29" s="31"/>
      <c r="J29" s="34"/>
      <c r="K29" s="34"/>
      <c r="L29" s="34"/>
      <c r="M29" s="34"/>
      <c r="N29" s="34"/>
      <c r="O29" s="34"/>
      <c r="P29" s="32"/>
    </row>
    <row r="30" spans="1:29" x14ac:dyDescent="0.3">
      <c r="A30" s="28" t="s">
        <v>14</v>
      </c>
      <c r="B30" s="34"/>
      <c r="C30" s="34"/>
      <c r="D30" s="31"/>
      <c r="E30" s="31"/>
      <c r="F30" s="31"/>
      <c r="G30" s="31"/>
      <c r="H30" s="34"/>
      <c r="I30" s="34"/>
      <c r="J30" s="34"/>
      <c r="K30" s="34"/>
      <c r="L30" s="34"/>
      <c r="M30" s="34"/>
      <c r="N30" s="34"/>
      <c r="O30" s="34"/>
      <c r="P30" s="32"/>
    </row>
    <row r="31" spans="1:29" x14ac:dyDescent="0.3">
      <c r="A31" s="28" t="s">
        <v>45</v>
      </c>
      <c r="B31" s="31"/>
      <c r="C31" s="31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31"/>
      <c r="O31" s="31"/>
      <c r="P31" s="38"/>
    </row>
    <row r="32" spans="1:29" x14ac:dyDescent="0.3">
      <c r="A32" s="35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51"/>
    </row>
    <row r="33" spans="1:16" x14ac:dyDescent="0.3">
      <c r="A33" s="29" t="s">
        <v>16</v>
      </c>
      <c r="B33" s="31"/>
      <c r="C33" s="31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1"/>
      <c r="O33" s="31"/>
      <c r="P33" s="38"/>
    </row>
    <row r="34" spans="1:16" x14ac:dyDescent="0.3">
      <c r="A34" s="29" t="s">
        <v>17</v>
      </c>
      <c r="B34" s="37"/>
      <c r="C34" s="37"/>
      <c r="D34" s="31"/>
      <c r="E34" s="31"/>
      <c r="F34" s="31"/>
      <c r="G34" s="31"/>
      <c r="H34" s="37"/>
      <c r="I34" s="37"/>
      <c r="J34" s="37"/>
      <c r="K34" s="37"/>
      <c r="L34" s="37"/>
      <c r="M34" s="37"/>
      <c r="N34" s="37"/>
      <c r="O34" s="37"/>
      <c r="P34" s="38"/>
    </row>
    <row r="35" spans="1:16" x14ac:dyDescent="0.3">
      <c r="A35" s="29" t="s">
        <v>21</v>
      </c>
      <c r="B35" s="39"/>
      <c r="C35" s="39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1"/>
      <c r="O35" s="31"/>
      <c r="P35" s="38"/>
    </row>
    <row r="36" spans="1:16" x14ac:dyDescent="0.3">
      <c r="A36" s="40" t="s">
        <v>18</v>
      </c>
      <c r="B36" s="37"/>
      <c r="C36" s="37"/>
      <c r="D36" s="37"/>
      <c r="E36" s="37"/>
      <c r="F36" s="37"/>
      <c r="G36" s="37"/>
      <c r="H36" s="39"/>
      <c r="I36" s="39"/>
      <c r="J36" s="39"/>
      <c r="K36" s="39"/>
      <c r="L36" s="37"/>
      <c r="M36" s="37"/>
      <c r="N36" s="37"/>
      <c r="O36" s="37"/>
      <c r="P36" s="38"/>
    </row>
    <row r="37" spans="1:16" x14ac:dyDescent="0.3">
      <c r="A37" s="28" t="s">
        <v>26</v>
      </c>
      <c r="B37" s="37"/>
      <c r="C37" s="37"/>
      <c r="D37" s="31"/>
      <c r="E37" s="31"/>
      <c r="F37" s="31"/>
      <c r="G37" s="31"/>
      <c r="H37" s="37"/>
      <c r="I37" s="37"/>
      <c r="J37" s="37"/>
      <c r="K37" s="37"/>
      <c r="L37" s="37"/>
      <c r="M37" s="37"/>
      <c r="N37" s="37"/>
      <c r="O37" s="37"/>
      <c r="P37" s="38"/>
    </row>
    <row r="38" spans="1:16" x14ac:dyDescent="0.3">
      <c r="A38" s="40" t="s">
        <v>46</v>
      </c>
      <c r="B38" s="39"/>
      <c r="C38" s="39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9"/>
      <c r="O38" s="39"/>
      <c r="P38" s="38"/>
    </row>
  </sheetData>
  <mergeCells count="46">
    <mergeCell ref="N23:O23"/>
    <mergeCell ref="B24:C24"/>
    <mergeCell ref="D24:E24"/>
    <mergeCell ref="F24:G24"/>
    <mergeCell ref="H24:I24"/>
    <mergeCell ref="J24:K24"/>
    <mergeCell ref="L24:M24"/>
    <mergeCell ref="N24:O24"/>
    <mergeCell ref="B23:C23"/>
    <mergeCell ref="D23:E23"/>
    <mergeCell ref="F23:G23"/>
    <mergeCell ref="H23:I23"/>
    <mergeCell ref="J23:K23"/>
    <mergeCell ref="L23:M23"/>
    <mergeCell ref="B20:P20"/>
    <mergeCell ref="B21:P21"/>
    <mergeCell ref="B22:C22"/>
    <mergeCell ref="D22:E22"/>
    <mergeCell ref="F22:G22"/>
    <mergeCell ref="H22:I22"/>
    <mergeCell ref="J22:K22"/>
    <mergeCell ref="L22:M22"/>
    <mergeCell ref="N22:O22"/>
    <mergeCell ref="N4:O4"/>
    <mergeCell ref="B5:C5"/>
    <mergeCell ref="D5:E5"/>
    <mergeCell ref="F5:G5"/>
    <mergeCell ref="H5:I5"/>
    <mergeCell ref="J5:K5"/>
    <mergeCell ref="L5:M5"/>
    <mergeCell ref="N5:O5"/>
    <mergeCell ref="B4:C4"/>
    <mergeCell ref="D4:E4"/>
    <mergeCell ref="F4:G4"/>
    <mergeCell ref="H4:I4"/>
    <mergeCell ref="J4:K4"/>
    <mergeCell ref="L4:M4"/>
    <mergeCell ref="B1:P1"/>
    <mergeCell ref="B2:P2"/>
    <mergeCell ref="B3:C3"/>
    <mergeCell ref="D3:E3"/>
    <mergeCell ref="F3:G3"/>
    <mergeCell ref="H3:I3"/>
    <mergeCell ref="J3:K3"/>
    <mergeCell ref="L3:M3"/>
    <mergeCell ref="N3:O3"/>
  </mergeCells>
  <pageMargins left="0.25" right="0.25" top="0.75" bottom="0.75" header="0.3" footer="0.3"/>
  <pageSetup paperSize="9" scale="43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BCE64-26E4-4CE1-8020-E1B9938BF57D}">
  <sheetPr>
    <pageSetUpPr fitToPage="1"/>
  </sheetPr>
  <dimension ref="A1:AC38"/>
  <sheetViews>
    <sheetView workbookViewId="0">
      <selection activeCell="B6" sqref="B6:O19"/>
    </sheetView>
  </sheetViews>
  <sheetFormatPr baseColWidth="10" defaultRowHeight="14.4" x14ac:dyDescent="0.3"/>
  <sheetData>
    <row r="1" spans="1:29" ht="15" thickBot="1" x14ac:dyDescent="0.35">
      <c r="A1" s="1" cm="1">
        <f t="array" aca="1" ref="A1" ca="1">A1:P35</f>
        <v>0</v>
      </c>
      <c r="B1" s="62" t="s">
        <v>0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3"/>
    </row>
    <row r="2" spans="1:29" ht="15" thickBot="1" x14ac:dyDescent="0.35">
      <c r="A2" s="22"/>
      <c r="B2" s="62" t="str">
        <f ca="1">"SEMAINE "&amp;_xlfn.SHEET()</f>
        <v>SEMAINE 20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3"/>
    </row>
    <row r="3" spans="1:29" x14ac:dyDescent="0.3">
      <c r="A3" s="23"/>
      <c r="B3" s="64" t="s">
        <v>1</v>
      </c>
      <c r="C3" s="65"/>
      <c r="D3" s="64" t="s">
        <v>2</v>
      </c>
      <c r="E3" s="65"/>
      <c r="F3" s="64" t="s">
        <v>3</v>
      </c>
      <c r="G3" s="65"/>
      <c r="H3" s="64" t="s">
        <v>4</v>
      </c>
      <c r="I3" s="65"/>
      <c r="J3" s="64" t="s">
        <v>5</v>
      </c>
      <c r="K3" s="65"/>
      <c r="L3" s="64" t="s">
        <v>6</v>
      </c>
      <c r="M3" s="65"/>
      <c r="N3" s="64" t="s">
        <v>7</v>
      </c>
      <c r="O3" s="65"/>
      <c r="P3" s="24" t="s">
        <v>8</v>
      </c>
      <c r="W3" s="25" t="e">
        <f t="shared" ref="W3:W20" si="0">C3-B3</f>
        <v>#VALUE!</v>
      </c>
      <c r="X3" s="25" t="e">
        <f t="shared" ref="X3:X20" si="1">E3-D3</f>
        <v>#VALUE!</v>
      </c>
      <c r="Y3" s="25" t="e">
        <f t="shared" ref="Y3:Y20" si="2">G3-F3</f>
        <v>#VALUE!</v>
      </c>
      <c r="Z3" s="25" t="e">
        <f t="shared" ref="Z3:Z20" si="3">I3-H3</f>
        <v>#VALUE!</v>
      </c>
      <c r="AA3" s="25" t="e">
        <f t="shared" ref="AA3:AA20" si="4">K3-J3</f>
        <v>#VALUE!</v>
      </c>
      <c r="AB3" s="25" t="e">
        <f t="shared" ref="AB3:AB20" si="5">M3-L3</f>
        <v>#VALUE!</v>
      </c>
      <c r="AC3" s="25" t="e">
        <f t="shared" ref="AC3:AC20" si="6">O3-N3</f>
        <v>#VALUE!</v>
      </c>
    </row>
    <row r="4" spans="1:29" x14ac:dyDescent="0.3">
      <c r="A4" s="26"/>
      <c r="B4" s="66">
        <v>46153</v>
      </c>
      <c r="C4" s="66"/>
      <c r="D4" s="66">
        <v>46154</v>
      </c>
      <c r="E4" s="66"/>
      <c r="F4" s="66">
        <v>46155</v>
      </c>
      <c r="G4" s="66"/>
      <c r="H4" s="66">
        <v>46156</v>
      </c>
      <c r="I4" s="66"/>
      <c r="J4" s="66">
        <v>46157</v>
      </c>
      <c r="K4" s="66"/>
      <c r="L4" s="66">
        <v>46158</v>
      </c>
      <c r="M4" s="66"/>
      <c r="N4" s="66">
        <v>46159</v>
      </c>
      <c r="O4" s="66"/>
      <c r="P4" s="27"/>
      <c r="W4" s="25">
        <f t="shared" si="0"/>
        <v>-46153</v>
      </c>
      <c r="X4" s="25">
        <f t="shared" si="1"/>
        <v>-46154</v>
      </c>
      <c r="Y4" s="25">
        <f t="shared" si="2"/>
        <v>-46155</v>
      </c>
      <c r="Z4" s="25">
        <f t="shared" si="3"/>
        <v>-46156</v>
      </c>
      <c r="AA4" s="25">
        <f t="shared" si="4"/>
        <v>-46157</v>
      </c>
      <c r="AB4" s="25">
        <f t="shared" si="5"/>
        <v>-46158</v>
      </c>
      <c r="AC4" s="25">
        <f t="shared" si="6"/>
        <v>-46159</v>
      </c>
    </row>
    <row r="5" spans="1:29" x14ac:dyDescent="0.3">
      <c r="A5" s="28" t="s">
        <v>9</v>
      </c>
      <c r="B5" s="58"/>
      <c r="C5" s="59"/>
      <c r="D5" s="58"/>
      <c r="E5" s="59"/>
      <c r="F5" s="58"/>
      <c r="G5" s="59"/>
      <c r="H5" s="58"/>
      <c r="I5" s="59"/>
      <c r="J5" s="58"/>
      <c r="K5" s="59"/>
      <c r="L5" s="58"/>
      <c r="M5" s="59"/>
      <c r="N5" s="58"/>
      <c r="O5" s="59"/>
      <c r="P5" s="27"/>
      <c r="W5" s="25">
        <f t="shared" si="0"/>
        <v>0</v>
      </c>
      <c r="X5" s="25">
        <f t="shared" si="1"/>
        <v>0</v>
      </c>
      <c r="Y5" s="25">
        <f t="shared" si="2"/>
        <v>0</v>
      </c>
      <c r="Z5" s="25">
        <f t="shared" si="3"/>
        <v>0</v>
      </c>
      <c r="AA5" s="25">
        <f t="shared" si="4"/>
        <v>0</v>
      </c>
      <c r="AB5" s="25">
        <f t="shared" si="5"/>
        <v>0</v>
      </c>
      <c r="AC5" s="25">
        <f t="shared" si="6"/>
        <v>0</v>
      </c>
    </row>
    <row r="6" spans="1:29" x14ac:dyDescent="0.3">
      <c r="A6" s="29" t="s">
        <v>10</v>
      </c>
      <c r="B6" s="31">
        <v>0.41666666666666669</v>
      </c>
      <c r="C6" s="31">
        <v>0.70833333333333337</v>
      </c>
      <c r="D6" s="31">
        <v>0.39583333333333331</v>
      </c>
      <c r="E6" s="31">
        <v>0.72916666666666663</v>
      </c>
      <c r="F6" s="31">
        <v>0.375</v>
      </c>
      <c r="G6" s="31">
        <v>0.72916666666666663</v>
      </c>
      <c r="H6" s="31">
        <v>0.41666666666666669</v>
      </c>
      <c r="I6" s="31">
        <v>0.72916666666666663</v>
      </c>
      <c r="J6" s="31">
        <v>0.375</v>
      </c>
      <c r="K6" s="31">
        <v>0.70833333333333337</v>
      </c>
      <c r="L6" s="31"/>
      <c r="M6" s="31"/>
      <c r="N6" s="31"/>
      <c r="O6" s="31"/>
      <c r="P6" s="32">
        <f t="shared" ref="P6:P11" si="7">W6+X6+Y6+Z6+AA6+AB6+AC6</f>
        <v>1.625</v>
      </c>
      <c r="W6" s="25">
        <f t="shared" si="0"/>
        <v>0.29166666666666669</v>
      </c>
      <c r="X6" s="25">
        <f t="shared" si="1"/>
        <v>0.33333333333333331</v>
      </c>
      <c r="Y6" s="25">
        <f t="shared" si="2"/>
        <v>0.35416666666666663</v>
      </c>
      <c r="Z6" s="25">
        <f t="shared" si="3"/>
        <v>0.31249999999999994</v>
      </c>
      <c r="AA6" s="25">
        <f t="shared" si="4"/>
        <v>0.33333333333333337</v>
      </c>
      <c r="AB6" s="25">
        <f t="shared" si="5"/>
        <v>0</v>
      </c>
      <c r="AC6" s="25">
        <f t="shared" si="6"/>
        <v>0</v>
      </c>
    </row>
    <row r="7" spans="1:29" x14ac:dyDescent="0.3">
      <c r="A7" s="33" t="s">
        <v>12</v>
      </c>
      <c r="B7" s="31">
        <v>0.41666666666666669</v>
      </c>
      <c r="C7" s="31">
        <v>0.70833333333333337</v>
      </c>
      <c r="D7" s="31">
        <v>0.41666666666666669</v>
      </c>
      <c r="E7" s="31">
        <v>0.70833333333333337</v>
      </c>
      <c r="F7" s="31">
        <v>0.41666666666666669</v>
      </c>
      <c r="G7" s="31">
        <v>0.70833333333333337</v>
      </c>
      <c r="H7" s="31">
        <v>0.41666666666666669</v>
      </c>
      <c r="I7" s="31">
        <v>0.70833333333333337</v>
      </c>
      <c r="J7" s="31">
        <v>0.41666666666666669</v>
      </c>
      <c r="K7" s="31">
        <v>0.70833333333333337</v>
      </c>
      <c r="L7" s="31"/>
      <c r="M7" s="31"/>
      <c r="N7" s="31"/>
      <c r="O7" s="31"/>
      <c r="P7" s="32">
        <f t="shared" si="7"/>
        <v>1.4583333333333335</v>
      </c>
      <c r="W7" s="25">
        <f t="shared" si="0"/>
        <v>0.29166666666666669</v>
      </c>
      <c r="X7" s="25">
        <f t="shared" si="1"/>
        <v>0.29166666666666669</v>
      </c>
      <c r="Y7" s="25">
        <f t="shared" si="2"/>
        <v>0.29166666666666669</v>
      </c>
      <c r="Z7" s="25">
        <f t="shared" si="3"/>
        <v>0.29166666666666669</v>
      </c>
      <c r="AA7" s="25">
        <f t="shared" si="4"/>
        <v>0.29166666666666669</v>
      </c>
      <c r="AB7" s="25">
        <f t="shared" si="5"/>
        <v>0</v>
      </c>
      <c r="AC7" s="25">
        <f t="shared" si="6"/>
        <v>0</v>
      </c>
    </row>
    <row r="8" spans="1:29" x14ac:dyDescent="0.3">
      <c r="A8" s="28" t="s">
        <v>36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4">
        <v>0.48958333333333331</v>
      </c>
      <c r="M8" s="34">
        <v>0.63541666666666663</v>
      </c>
      <c r="N8" s="34">
        <v>0.48958333333333331</v>
      </c>
      <c r="O8" s="34">
        <v>0.63541666666666663</v>
      </c>
      <c r="P8" s="32">
        <f t="shared" si="7"/>
        <v>0.29166666666666663</v>
      </c>
      <c r="W8" s="25">
        <f t="shared" si="0"/>
        <v>0</v>
      </c>
      <c r="X8" s="25">
        <f t="shared" si="1"/>
        <v>0</v>
      </c>
      <c r="Y8" s="25">
        <f t="shared" si="2"/>
        <v>0</v>
      </c>
      <c r="Z8" s="25">
        <f t="shared" si="3"/>
        <v>0</v>
      </c>
      <c r="AA8" s="25">
        <f t="shared" si="4"/>
        <v>0</v>
      </c>
      <c r="AB8" s="25">
        <f t="shared" si="5"/>
        <v>0.14583333333333331</v>
      </c>
      <c r="AC8" s="25">
        <f t="shared" si="6"/>
        <v>0.14583333333333331</v>
      </c>
    </row>
    <row r="9" spans="1:29" x14ac:dyDescent="0.3">
      <c r="A9" s="28" t="s">
        <v>37</v>
      </c>
      <c r="B9" s="34">
        <v>0.39583333333333331</v>
      </c>
      <c r="C9" s="34">
        <v>0.72916666666666663</v>
      </c>
      <c r="D9" s="34">
        <v>0.39583333333333331</v>
      </c>
      <c r="E9" s="34">
        <v>0.70833333333333337</v>
      </c>
      <c r="F9" s="34">
        <v>0.375</v>
      </c>
      <c r="G9" s="34">
        <v>0.72916666666666663</v>
      </c>
      <c r="H9" s="31"/>
      <c r="I9" s="31"/>
      <c r="J9" s="31"/>
      <c r="K9" s="31"/>
      <c r="L9" s="34">
        <v>0.39583333333333331</v>
      </c>
      <c r="M9" s="34">
        <v>0.70833333333333337</v>
      </c>
      <c r="N9" s="34">
        <v>0.39583333333333331</v>
      </c>
      <c r="O9" s="34">
        <v>0.70833333333333337</v>
      </c>
      <c r="P9" s="32">
        <f t="shared" si="7"/>
        <v>1.625</v>
      </c>
      <c r="W9" s="25">
        <f t="shared" si="0"/>
        <v>0.33333333333333331</v>
      </c>
      <c r="X9" s="25">
        <f t="shared" si="1"/>
        <v>0.31250000000000006</v>
      </c>
      <c r="Y9" s="25">
        <f t="shared" si="2"/>
        <v>0.35416666666666663</v>
      </c>
      <c r="Z9" s="25">
        <f t="shared" si="3"/>
        <v>0</v>
      </c>
      <c r="AA9" s="25">
        <f t="shared" si="4"/>
        <v>0</v>
      </c>
      <c r="AB9" s="25">
        <f t="shared" si="5"/>
        <v>0.31250000000000006</v>
      </c>
      <c r="AC9" s="25">
        <f t="shared" si="6"/>
        <v>0.31250000000000006</v>
      </c>
    </row>
    <row r="10" spans="1:29" x14ac:dyDescent="0.3">
      <c r="A10" s="28" t="s">
        <v>42</v>
      </c>
      <c r="B10" s="34">
        <v>0.39583333333333331</v>
      </c>
      <c r="C10" s="34">
        <v>0.72916666666666663</v>
      </c>
      <c r="D10" s="31"/>
      <c r="E10" s="31"/>
      <c r="F10" s="31"/>
      <c r="G10" s="31"/>
      <c r="H10" s="34">
        <v>0.39583333333333331</v>
      </c>
      <c r="I10" s="34">
        <v>0.70833333333333337</v>
      </c>
      <c r="J10" s="34">
        <v>0.39583333333333331</v>
      </c>
      <c r="K10" s="34">
        <v>0.72916666666666663</v>
      </c>
      <c r="L10" s="34">
        <v>0.39583333333333331</v>
      </c>
      <c r="M10" s="34">
        <v>0.72916666666666663</v>
      </c>
      <c r="N10" s="34">
        <v>0.39583333333333331</v>
      </c>
      <c r="O10" s="34">
        <v>0.70833333333333337</v>
      </c>
      <c r="P10" s="32">
        <f t="shared" si="7"/>
        <v>1.625</v>
      </c>
      <c r="W10" s="25">
        <f t="shared" si="0"/>
        <v>0.33333333333333331</v>
      </c>
      <c r="X10" s="25">
        <f t="shared" si="1"/>
        <v>0</v>
      </c>
      <c r="Y10" s="25">
        <f t="shared" si="2"/>
        <v>0</v>
      </c>
      <c r="Z10" s="25">
        <f t="shared" si="3"/>
        <v>0.31250000000000006</v>
      </c>
      <c r="AA10" s="25">
        <f t="shared" si="4"/>
        <v>0.33333333333333331</v>
      </c>
      <c r="AB10" s="25">
        <f t="shared" si="5"/>
        <v>0.33333333333333331</v>
      </c>
      <c r="AC10" s="25">
        <f t="shared" si="6"/>
        <v>0.31250000000000006</v>
      </c>
    </row>
    <row r="11" spans="1:29" x14ac:dyDescent="0.3">
      <c r="A11" s="28" t="s">
        <v>45</v>
      </c>
      <c r="B11" s="34">
        <v>0.39583333333333331</v>
      </c>
      <c r="C11" s="34">
        <v>0.70833333333333337</v>
      </c>
      <c r="D11" s="34">
        <v>0.39583333333333331</v>
      </c>
      <c r="E11" s="34">
        <v>0.72916666666666663</v>
      </c>
      <c r="F11" s="31"/>
      <c r="G11" s="31"/>
      <c r="H11" s="31"/>
      <c r="I11" s="31"/>
      <c r="J11" s="34">
        <v>0.375</v>
      </c>
      <c r="K11" s="34">
        <v>0.70833333333333337</v>
      </c>
      <c r="L11" s="34">
        <v>0.39583333333333331</v>
      </c>
      <c r="M11" s="34">
        <v>0.72916666666666663</v>
      </c>
      <c r="N11" s="34">
        <v>0.39583333333333331</v>
      </c>
      <c r="O11" s="34">
        <v>0.70833333333333337</v>
      </c>
      <c r="P11" s="32">
        <f t="shared" si="7"/>
        <v>1.625</v>
      </c>
      <c r="W11" s="25">
        <f t="shared" si="0"/>
        <v>0.31250000000000006</v>
      </c>
      <c r="X11" s="25">
        <f t="shared" si="1"/>
        <v>0.33333333333333331</v>
      </c>
      <c r="Y11" s="25">
        <f t="shared" si="2"/>
        <v>0</v>
      </c>
      <c r="Z11" s="25">
        <f t="shared" si="3"/>
        <v>0</v>
      </c>
      <c r="AA11" s="25">
        <f t="shared" si="4"/>
        <v>0.33333333333333337</v>
      </c>
      <c r="AB11" s="25">
        <f t="shared" si="5"/>
        <v>0.33333333333333331</v>
      </c>
      <c r="AC11" s="25">
        <f t="shared" si="6"/>
        <v>0.31250000000000006</v>
      </c>
    </row>
    <row r="12" spans="1:29" x14ac:dyDescent="0.3">
      <c r="A12" s="28" t="s">
        <v>14</v>
      </c>
      <c r="B12" s="31"/>
      <c r="C12" s="31"/>
      <c r="D12" s="14">
        <v>0.41666666666666669</v>
      </c>
      <c r="E12" s="14">
        <v>0.70833333333333337</v>
      </c>
      <c r="F12" s="14">
        <v>0.375</v>
      </c>
      <c r="G12" s="14">
        <v>0.75</v>
      </c>
      <c r="H12" s="14">
        <v>0.39583333333333331</v>
      </c>
      <c r="I12" s="14">
        <v>0.72916666666666663</v>
      </c>
      <c r="J12" s="14">
        <v>0.375</v>
      </c>
      <c r="K12" s="14">
        <v>0.70833333333333337</v>
      </c>
      <c r="L12" s="14">
        <v>0.41666666666666669</v>
      </c>
      <c r="M12" s="14">
        <v>0.70833333333333337</v>
      </c>
      <c r="N12" s="31"/>
      <c r="O12" s="31"/>
      <c r="P12" s="38">
        <f>W12+X12+Y12+Z12+AA12+AB12+AC12</f>
        <v>1.6250000000000002</v>
      </c>
      <c r="W12" s="25">
        <f t="shared" si="0"/>
        <v>0</v>
      </c>
      <c r="X12" s="25">
        <f t="shared" si="1"/>
        <v>0.29166666666666669</v>
      </c>
      <c r="Y12" s="25">
        <f t="shared" si="2"/>
        <v>0.375</v>
      </c>
      <c r="Z12" s="25">
        <f t="shared" si="3"/>
        <v>0.33333333333333331</v>
      </c>
      <c r="AA12" s="25">
        <f t="shared" si="4"/>
        <v>0.33333333333333337</v>
      </c>
      <c r="AB12" s="25">
        <f t="shared" si="5"/>
        <v>0.29166666666666669</v>
      </c>
      <c r="AC12" s="25">
        <f t="shared" si="6"/>
        <v>0</v>
      </c>
    </row>
    <row r="13" spans="1:29" x14ac:dyDescent="0.3">
      <c r="A13" s="35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51"/>
      <c r="W13" s="25">
        <f t="shared" si="0"/>
        <v>0</v>
      </c>
      <c r="X13" s="25">
        <f t="shared" si="1"/>
        <v>0</v>
      </c>
      <c r="Y13" s="25">
        <f t="shared" si="2"/>
        <v>0</v>
      </c>
      <c r="Z13" s="25">
        <f t="shared" si="3"/>
        <v>0</v>
      </c>
      <c r="AA13" s="25">
        <f t="shared" si="4"/>
        <v>0</v>
      </c>
      <c r="AB13" s="25">
        <f t="shared" si="5"/>
        <v>0</v>
      </c>
      <c r="AC13" s="25">
        <f t="shared" si="6"/>
        <v>0</v>
      </c>
    </row>
    <row r="14" spans="1:29" x14ac:dyDescent="0.3">
      <c r="A14" s="29" t="s">
        <v>16</v>
      </c>
      <c r="B14" s="31"/>
      <c r="C14" s="31"/>
      <c r="D14" s="37">
        <v>0.70833333333333337</v>
      </c>
      <c r="E14" s="37">
        <v>1.0625</v>
      </c>
      <c r="F14" s="37">
        <v>0.72916666666666663</v>
      </c>
      <c r="G14" s="37">
        <v>1.0625</v>
      </c>
      <c r="H14" s="37">
        <v>0.70833333333333304</v>
      </c>
      <c r="I14" s="37">
        <v>1.0625</v>
      </c>
      <c r="J14" s="37">
        <v>0.70833333333333304</v>
      </c>
      <c r="K14" s="37">
        <v>1.0625</v>
      </c>
      <c r="L14" s="37">
        <v>0.70833333333333304</v>
      </c>
      <c r="M14" s="37">
        <v>1.0625</v>
      </c>
      <c r="N14" s="31"/>
      <c r="O14" s="31"/>
      <c r="P14" s="38">
        <f t="shared" ref="P14:P19" si="8">W14+X14+Y14+Z14+AA14+AB14+AC14</f>
        <v>1.7500000000000009</v>
      </c>
      <c r="W14" s="25">
        <f t="shared" si="0"/>
        <v>0</v>
      </c>
      <c r="X14" s="25">
        <f t="shared" si="1"/>
        <v>0.35416666666666663</v>
      </c>
      <c r="Y14" s="25">
        <f t="shared" si="2"/>
        <v>0.33333333333333337</v>
      </c>
      <c r="Z14" s="25">
        <f t="shared" si="3"/>
        <v>0.35416666666666696</v>
      </c>
      <c r="AA14" s="25">
        <f t="shared" si="4"/>
        <v>0.35416666666666696</v>
      </c>
      <c r="AB14" s="25">
        <f t="shared" si="5"/>
        <v>0.35416666666666696</v>
      </c>
      <c r="AC14" s="25">
        <f t="shared" si="6"/>
        <v>0</v>
      </c>
    </row>
    <row r="15" spans="1:29" x14ac:dyDescent="0.3">
      <c r="A15" s="29" t="s">
        <v>17</v>
      </c>
      <c r="B15" s="37">
        <v>0.70833333333333337</v>
      </c>
      <c r="C15" s="37">
        <v>1.0208333333333299</v>
      </c>
      <c r="D15" s="31"/>
      <c r="E15" s="31"/>
      <c r="F15" s="31"/>
      <c r="G15" s="31"/>
      <c r="H15" s="37">
        <v>0.70833333333333337</v>
      </c>
      <c r="I15" s="37">
        <v>1.0625</v>
      </c>
      <c r="J15" s="37">
        <v>0.70833333333333304</v>
      </c>
      <c r="K15" s="37">
        <v>1.0625</v>
      </c>
      <c r="L15" s="37">
        <v>0.6875</v>
      </c>
      <c r="M15" s="37">
        <v>1.0625</v>
      </c>
      <c r="N15" s="37">
        <v>0.66666666666666663</v>
      </c>
      <c r="O15" s="37">
        <v>1.0208333333333333</v>
      </c>
      <c r="P15" s="38">
        <f t="shared" si="8"/>
        <v>1.7499999999999969</v>
      </c>
      <c r="W15" s="25">
        <f t="shared" si="0"/>
        <v>0.31249999999999656</v>
      </c>
      <c r="X15" s="25">
        <f>E15-D15</f>
        <v>0</v>
      </c>
      <c r="Y15" s="25">
        <f t="shared" si="2"/>
        <v>0</v>
      </c>
      <c r="Z15" s="25">
        <f t="shared" si="3"/>
        <v>0.35416666666666663</v>
      </c>
      <c r="AA15" s="25">
        <f t="shared" si="4"/>
        <v>0.35416666666666696</v>
      </c>
      <c r="AB15" s="25">
        <f t="shared" si="5"/>
        <v>0.375</v>
      </c>
      <c r="AC15" s="25">
        <f t="shared" si="6"/>
        <v>0.35416666666666663</v>
      </c>
    </row>
    <row r="16" spans="1:29" x14ac:dyDescent="0.3">
      <c r="A16" s="29" t="s">
        <v>21</v>
      </c>
      <c r="B16" s="39"/>
      <c r="C16" s="39"/>
      <c r="D16" s="37">
        <v>0.70833333333333337</v>
      </c>
      <c r="E16" s="37">
        <v>1.0625</v>
      </c>
      <c r="F16" s="37">
        <v>0.70833333333333337</v>
      </c>
      <c r="G16" s="37">
        <v>1.0625</v>
      </c>
      <c r="H16" s="37">
        <v>0.72916666666666663</v>
      </c>
      <c r="I16" s="37">
        <v>1.0625</v>
      </c>
      <c r="J16" s="37">
        <v>0.70833333333333337</v>
      </c>
      <c r="K16" s="37">
        <v>1.0625</v>
      </c>
      <c r="L16" s="37">
        <v>0.70833333333333337</v>
      </c>
      <c r="M16" s="37">
        <v>1.0625</v>
      </c>
      <c r="N16" s="31"/>
      <c r="O16" s="31"/>
      <c r="P16" s="38">
        <f t="shared" si="8"/>
        <v>1.7499999999999996</v>
      </c>
      <c r="W16" s="25">
        <f t="shared" si="0"/>
        <v>0</v>
      </c>
      <c r="X16" s="25">
        <f t="shared" si="1"/>
        <v>0.35416666666666663</v>
      </c>
      <c r="Y16" s="25">
        <f t="shared" si="2"/>
        <v>0.35416666666666663</v>
      </c>
      <c r="Z16" s="25">
        <f t="shared" si="3"/>
        <v>0.33333333333333337</v>
      </c>
      <c r="AA16" s="25">
        <f t="shared" si="4"/>
        <v>0.35416666666666663</v>
      </c>
      <c r="AB16" s="25">
        <f t="shared" si="5"/>
        <v>0.35416666666666663</v>
      </c>
      <c r="AC16" s="25">
        <f t="shared" si="6"/>
        <v>0</v>
      </c>
    </row>
    <row r="17" spans="1:29" x14ac:dyDescent="0.3">
      <c r="A17" s="40" t="s">
        <v>18</v>
      </c>
      <c r="B17" s="37">
        <v>0.72916666666666663</v>
      </c>
      <c r="C17" s="37">
        <v>1.0208333333333299</v>
      </c>
      <c r="D17" s="37">
        <v>0.70833333333333337</v>
      </c>
      <c r="E17" s="37">
        <v>1.0625</v>
      </c>
      <c r="F17" s="37">
        <v>0.75</v>
      </c>
      <c r="G17" s="37">
        <v>1.0625</v>
      </c>
      <c r="H17" s="39"/>
      <c r="I17" s="39"/>
      <c r="J17" s="39"/>
      <c r="K17" s="39"/>
      <c r="L17" s="37">
        <v>0.70833333333333337</v>
      </c>
      <c r="M17" s="37">
        <v>1.0625</v>
      </c>
      <c r="N17" s="37">
        <v>0.70833333333333337</v>
      </c>
      <c r="O17" s="37">
        <v>1.0208333333333333</v>
      </c>
      <c r="P17" s="38">
        <f t="shared" si="8"/>
        <v>1.6249999999999964</v>
      </c>
      <c r="W17" s="25">
        <f t="shared" si="0"/>
        <v>0.2916666666666633</v>
      </c>
      <c r="X17" s="25">
        <f t="shared" si="1"/>
        <v>0.35416666666666663</v>
      </c>
      <c r="Y17" s="25">
        <f t="shared" si="2"/>
        <v>0.3125</v>
      </c>
      <c r="Z17" s="25">
        <f t="shared" si="3"/>
        <v>0</v>
      </c>
      <c r="AA17" s="25">
        <f t="shared" si="4"/>
        <v>0</v>
      </c>
      <c r="AB17" s="25">
        <f t="shared" si="5"/>
        <v>0.35416666666666663</v>
      </c>
      <c r="AC17" s="25">
        <f t="shared" si="6"/>
        <v>0.31249999999999989</v>
      </c>
    </row>
    <row r="18" spans="1:29" x14ac:dyDescent="0.3">
      <c r="A18" s="28" t="s">
        <v>26</v>
      </c>
      <c r="B18" s="37">
        <v>0.72916666666666663</v>
      </c>
      <c r="C18" s="37">
        <v>1.0208333333333333</v>
      </c>
      <c r="D18" s="31"/>
      <c r="E18" s="31"/>
      <c r="F18" s="31"/>
      <c r="G18" s="31"/>
      <c r="H18" s="37">
        <v>0.75</v>
      </c>
      <c r="I18" s="37">
        <v>1.0625</v>
      </c>
      <c r="J18" s="37">
        <v>0.75</v>
      </c>
      <c r="K18" s="37">
        <v>1.0625</v>
      </c>
      <c r="L18" s="37">
        <v>0.70833333333333337</v>
      </c>
      <c r="M18" s="37">
        <v>1.0625</v>
      </c>
      <c r="N18" s="37">
        <v>0.66666666666666663</v>
      </c>
      <c r="O18" s="37">
        <v>1.0208333333333333</v>
      </c>
      <c r="P18" s="38">
        <f t="shared" si="8"/>
        <v>1.625</v>
      </c>
      <c r="W18" s="25">
        <f t="shared" si="0"/>
        <v>0.29166666666666663</v>
      </c>
      <c r="X18" s="25">
        <f t="shared" si="1"/>
        <v>0</v>
      </c>
      <c r="Y18" s="25">
        <f t="shared" si="2"/>
        <v>0</v>
      </c>
      <c r="Z18" s="25">
        <f t="shared" si="3"/>
        <v>0.3125</v>
      </c>
      <c r="AA18" s="25">
        <f t="shared" si="4"/>
        <v>0.3125</v>
      </c>
      <c r="AB18" s="25">
        <f t="shared" si="5"/>
        <v>0.35416666666666663</v>
      </c>
      <c r="AC18" s="25">
        <f t="shared" si="6"/>
        <v>0.35416666666666663</v>
      </c>
    </row>
    <row r="19" spans="1:29" x14ac:dyDescent="0.3">
      <c r="A19" s="40" t="s">
        <v>46</v>
      </c>
      <c r="B19" s="39"/>
      <c r="C19" s="39"/>
      <c r="D19" s="37">
        <v>0.72916666666666663</v>
      </c>
      <c r="E19" s="37">
        <v>1.0625</v>
      </c>
      <c r="F19" s="37">
        <v>0.75</v>
      </c>
      <c r="G19" s="37">
        <v>1.0625</v>
      </c>
      <c r="H19" s="37">
        <v>0.75</v>
      </c>
      <c r="I19" s="37">
        <v>1.0625</v>
      </c>
      <c r="J19" s="37">
        <v>0.75</v>
      </c>
      <c r="K19" s="37">
        <v>1.0625</v>
      </c>
      <c r="L19" s="37">
        <v>0.70833333333333337</v>
      </c>
      <c r="M19" s="37">
        <v>1.0625</v>
      </c>
      <c r="N19" s="39"/>
      <c r="O19" s="39"/>
      <c r="P19" s="38">
        <f t="shared" si="8"/>
        <v>1.625</v>
      </c>
      <c r="W19" s="25">
        <f t="shared" si="0"/>
        <v>0</v>
      </c>
      <c r="X19" s="25">
        <f t="shared" si="1"/>
        <v>0.33333333333333337</v>
      </c>
      <c r="Y19" s="25">
        <f t="shared" si="2"/>
        <v>0.3125</v>
      </c>
      <c r="Z19" s="25">
        <f t="shared" si="3"/>
        <v>0.3125</v>
      </c>
      <c r="AA19" s="25">
        <f t="shared" si="4"/>
        <v>0.3125</v>
      </c>
      <c r="AB19" s="25">
        <f t="shared" si="5"/>
        <v>0.35416666666666663</v>
      </c>
      <c r="AC19" s="25">
        <f t="shared" si="6"/>
        <v>0</v>
      </c>
    </row>
    <row r="20" spans="1:29" ht="15" thickBot="1" x14ac:dyDescent="0.35">
      <c r="A20" s="52" t="e" cm="1">
        <f t="array" ref="A20">+A20:PA20:P+A20:P363628A1:P2A1:P47</f>
        <v>#NAME?</v>
      </c>
      <c r="B20" s="60" t="s">
        <v>0</v>
      </c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1"/>
      <c r="W20" s="25" t="e">
        <f t="shared" si="0"/>
        <v>#VALUE!</v>
      </c>
      <c r="X20" s="25">
        <f t="shared" si="1"/>
        <v>0</v>
      </c>
      <c r="Y20" s="25">
        <f t="shared" si="2"/>
        <v>0</v>
      </c>
      <c r="Z20" s="25">
        <f t="shared" si="3"/>
        <v>0</v>
      </c>
      <c r="AA20" s="25">
        <f t="shared" si="4"/>
        <v>0</v>
      </c>
      <c r="AB20" s="25">
        <f t="shared" si="5"/>
        <v>0</v>
      </c>
      <c r="AC20" s="25">
        <f t="shared" si="6"/>
        <v>0</v>
      </c>
    </row>
    <row r="21" spans="1:29" ht="15" thickBot="1" x14ac:dyDescent="0.35">
      <c r="A21" s="53"/>
      <c r="B21" s="62" t="str">
        <f ca="1">B2</f>
        <v>SEMAINE 20</v>
      </c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3"/>
    </row>
    <row r="22" spans="1:29" x14ac:dyDescent="0.3">
      <c r="A22" s="23"/>
      <c r="B22" s="64" t="s">
        <v>1</v>
      </c>
      <c r="C22" s="65"/>
      <c r="D22" s="64" t="s">
        <v>2</v>
      </c>
      <c r="E22" s="65"/>
      <c r="F22" s="64" t="s">
        <v>3</v>
      </c>
      <c r="G22" s="65"/>
      <c r="H22" s="64" t="s">
        <v>4</v>
      </c>
      <c r="I22" s="65"/>
      <c r="J22" s="64" t="s">
        <v>5</v>
      </c>
      <c r="K22" s="65"/>
      <c r="L22" s="64" t="s">
        <v>6</v>
      </c>
      <c r="M22" s="65"/>
      <c r="N22" s="64" t="s">
        <v>7</v>
      </c>
      <c r="O22" s="65"/>
      <c r="P22" s="24" t="s">
        <v>8</v>
      </c>
    </row>
    <row r="23" spans="1:29" x14ac:dyDescent="0.3">
      <c r="A23" s="26"/>
      <c r="B23" s="58">
        <f>B4</f>
        <v>46153</v>
      </c>
      <c r="C23" s="59"/>
      <c r="D23" s="58">
        <f>D4</f>
        <v>46154</v>
      </c>
      <c r="E23" s="59"/>
      <c r="F23" s="58">
        <f>F4</f>
        <v>46155</v>
      </c>
      <c r="G23" s="59"/>
      <c r="H23" s="58">
        <f>H4</f>
        <v>46156</v>
      </c>
      <c r="I23" s="59"/>
      <c r="J23" s="58">
        <f>J4</f>
        <v>46157</v>
      </c>
      <c r="K23" s="59"/>
      <c r="L23" s="58">
        <f>L4</f>
        <v>46158</v>
      </c>
      <c r="M23" s="59"/>
      <c r="N23" s="58">
        <f>N4</f>
        <v>46159</v>
      </c>
      <c r="O23" s="59"/>
      <c r="P23" s="27"/>
    </row>
    <row r="24" spans="1:29" x14ac:dyDescent="0.3">
      <c r="A24" s="28" t="s">
        <v>9</v>
      </c>
      <c r="B24" s="58"/>
      <c r="C24" s="59"/>
      <c r="D24" s="58"/>
      <c r="E24" s="59"/>
      <c r="F24" s="58"/>
      <c r="G24" s="59"/>
      <c r="H24" s="58"/>
      <c r="I24" s="59"/>
      <c r="J24" s="58"/>
      <c r="K24" s="59"/>
      <c r="L24" s="58"/>
      <c r="M24" s="59"/>
      <c r="N24" s="58"/>
      <c r="O24" s="59"/>
      <c r="P24" s="27"/>
    </row>
    <row r="25" spans="1:29" x14ac:dyDescent="0.3">
      <c r="A25" s="29" t="s">
        <v>10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2"/>
    </row>
    <row r="26" spans="1:29" x14ac:dyDescent="0.3">
      <c r="A26" s="33" t="s">
        <v>12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2"/>
    </row>
    <row r="27" spans="1:29" x14ac:dyDescent="0.3">
      <c r="A27" s="28" t="s">
        <v>36</v>
      </c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4"/>
      <c r="M27" s="34"/>
      <c r="N27" s="34"/>
      <c r="O27" s="34"/>
      <c r="P27" s="32"/>
    </row>
    <row r="28" spans="1:29" x14ac:dyDescent="0.3">
      <c r="A28" s="28" t="s">
        <v>37</v>
      </c>
      <c r="B28" s="34"/>
      <c r="C28" s="34"/>
      <c r="D28" s="34"/>
      <c r="E28" s="34"/>
      <c r="F28" s="34"/>
      <c r="G28" s="34"/>
      <c r="H28" s="31"/>
      <c r="I28" s="31"/>
      <c r="J28" s="31"/>
      <c r="K28" s="31"/>
      <c r="L28" s="34"/>
      <c r="M28" s="34"/>
      <c r="N28" s="34"/>
      <c r="O28" s="34"/>
      <c r="P28" s="32"/>
    </row>
    <row r="29" spans="1:29" x14ac:dyDescent="0.3">
      <c r="A29" s="28" t="s">
        <v>42</v>
      </c>
      <c r="B29" s="34"/>
      <c r="C29" s="34"/>
      <c r="D29" s="31"/>
      <c r="E29" s="31"/>
      <c r="F29" s="31"/>
      <c r="G29" s="31"/>
      <c r="H29" s="34"/>
      <c r="I29" s="34"/>
      <c r="J29" s="34"/>
      <c r="K29" s="34"/>
      <c r="L29" s="34"/>
      <c r="M29" s="34"/>
      <c r="N29" s="34"/>
      <c r="O29" s="34"/>
      <c r="P29" s="32"/>
    </row>
    <row r="30" spans="1:29" x14ac:dyDescent="0.3">
      <c r="A30" s="28" t="s">
        <v>45</v>
      </c>
      <c r="B30" s="34"/>
      <c r="C30" s="34"/>
      <c r="D30" s="34"/>
      <c r="E30" s="34"/>
      <c r="F30" s="31"/>
      <c r="G30" s="31"/>
      <c r="H30" s="31"/>
      <c r="I30" s="31"/>
      <c r="J30" s="34"/>
      <c r="K30" s="34"/>
      <c r="L30" s="34"/>
      <c r="M30" s="34"/>
      <c r="N30" s="34"/>
      <c r="O30" s="34"/>
      <c r="P30" s="32"/>
    </row>
    <row r="31" spans="1:29" x14ac:dyDescent="0.3">
      <c r="A31" s="28" t="s">
        <v>14</v>
      </c>
      <c r="B31" s="31"/>
      <c r="C31" s="31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31"/>
      <c r="O31" s="31"/>
      <c r="P31" s="38"/>
    </row>
    <row r="32" spans="1:29" x14ac:dyDescent="0.3">
      <c r="A32" s="35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51"/>
    </row>
    <row r="33" spans="1:16" x14ac:dyDescent="0.3">
      <c r="A33" s="29" t="s">
        <v>16</v>
      </c>
      <c r="B33" s="31"/>
      <c r="C33" s="31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1"/>
      <c r="O33" s="31"/>
      <c r="P33" s="38"/>
    </row>
    <row r="34" spans="1:16" x14ac:dyDescent="0.3">
      <c r="A34" s="29" t="s">
        <v>17</v>
      </c>
      <c r="B34" s="37"/>
      <c r="C34" s="37"/>
      <c r="D34" s="31"/>
      <c r="E34" s="31"/>
      <c r="F34" s="31"/>
      <c r="G34" s="31"/>
      <c r="H34" s="37"/>
      <c r="I34" s="37"/>
      <c r="J34" s="37"/>
      <c r="K34" s="37"/>
      <c r="L34" s="37"/>
      <c r="M34" s="37"/>
      <c r="N34" s="37"/>
      <c r="O34" s="37"/>
      <c r="P34" s="38"/>
    </row>
    <row r="35" spans="1:16" x14ac:dyDescent="0.3">
      <c r="A35" s="29" t="s">
        <v>21</v>
      </c>
      <c r="B35" s="39"/>
      <c r="C35" s="39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1"/>
      <c r="O35" s="31"/>
      <c r="P35" s="38"/>
    </row>
    <row r="36" spans="1:16" x14ac:dyDescent="0.3">
      <c r="A36" s="40" t="s">
        <v>18</v>
      </c>
      <c r="B36" s="37"/>
      <c r="C36" s="37"/>
      <c r="D36" s="37"/>
      <c r="E36" s="37"/>
      <c r="F36" s="37"/>
      <c r="G36" s="37"/>
      <c r="H36" s="39"/>
      <c r="I36" s="39"/>
      <c r="J36" s="39"/>
      <c r="K36" s="39"/>
      <c r="L36" s="37"/>
      <c r="M36" s="37"/>
      <c r="N36" s="37"/>
      <c r="O36" s="37"/>
      <c r="P36" s="38"/>
    </row>
    <row r="37" spans="1:16" x14ac:dyDescent="0.3">
      <c r="A37" s="28" t="s">
        <v>26</v>
      </c>
      <c r="B37" s="37"/>
      <c r="C37" s="37"/>
      <c r="D37" s="31"/>
      <c r="E37" s="31"/>
      <c r="F37" s="31"/>
      <c r="G37" s="31"/>
      <c r="H37" s="37"/>
      <c r="I37" s="37"/>
      <c r="J37" s="37"/>
      <c r="K37" s="37"/>
      <c r="L37" s="37"/>
      <c r="M37" s="37"/>
      <c r="N37" s="37"/>
      <c r="O37" s="37"/>
      <c r="P37" s="38"/>
    </row>
    <row r="38" spans="1:16" x14ac:dyDescent="0.3">
      <c r="A38" s="40" t="s">
        <v>46</v>
      </c>
      <c r="B38" s="39"/>
      <c r="C38" s="39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9"/>
      <c r="O38" s="39"/>
      <c r="P38" s="38"/>
    </row>
  </sheetData>
  <mergeCells count="46">
    <mergeCell ref="B1:P1"/>
    <mergeCell ref="B2:P2"/>
    <mergeCell ref="B3:C3"/>
    <mergeCell ref="D3:E3"/>
    <mergeCell ref="F3:G3"/>
    <mergeCell ref="H3:I3"/>
    <mergeCell ref="J3:K3"/>
    <mergeCell ref="L3:M3"/>
    <mergeCell ref="N3:O3"/>
    <mergeCell ref="N4:O4"/>
    <mergeCell ref="B5:C5"/>
    <mergeCell ref="D5:E5"/>
    <mergeCell ref="F5:G5"/>
    <mergeCell ref="H5:I5"/>
    <mergeCell ref="J5:K5"/>
    <mergeCell ref="L5:M5"/>
    <mergeCell ref="N5:O5"/>
    <mergeCell ref="B4:C4"/>
    <mergeCell ref="D4:E4"/>
    <mergeCell ref="F4:G4"/>
    <mergeCell ref="H4:I4"/>
    <mergeCell ref="J4:K4"/>
    <mergeCell ref="L4:M4"/>
    <mergeCell ref="B20:P20"/>
    <mergeCell ref="B21:P21"/>
    <mergeCell ref="B22:C22"/>
    <mergeCell ref="D22:E22"/>
    <mergeCell ref="F22:G22"/>
    <mergeCell ref="H22:I22"/>
    <mergeCell ref="J22:K22"/>
    <mergeCell ref="L22:M22"/>
    <mergeCell ref="N22:O22"/>
    <mergeCell ref="N23:O23"/>
    <mergeCell ref="B24:C24"/>
    <mergeCell ref="D24:E24"/>
    <mergeCell ref="F24:G24"/>
    <mergeCell ref="H24:I24"/>
    <mergeCell ref="J24:K24"/>
    <mergeCell ref="L24:M24"/>
    <mergeCell ref="N24:O24"/>
    <mergeCell ref="B23:C23"/>
    <mergeCell ref="D23:E23"/>
    <mergeCell ref="F23:G23"/>
    <mergeCell ref="H23:I23"/>
    <mergeCell ref="J23:K23"/>
    <mergeCell ref="L23:M23"/>
  </mergeCells>
  <pageMargins left="0.25" right="0.25" top="0.75" bottom="0.75" header="0.3" footer="0.3"/>
  <pageSetup paperSize="9" scale="43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AC8FA-FC5E-4FA8-AC64-99F4E6D331F6}">
  <sheetPr>
    <pageSetUpPr fitToPage="1"/>
  </sheetPr>
  <dimension ref="A1:AC38"/>
  <sheetViews>
    <sheetView tabSelected="1" topLeftCell="A3" workbookViewId="0">
      <selection activeCell="N16" sqref="N16"/>
    </sheetView>
  </sheetViews>
  <sheetFormatPr baseColWidth="10" defaultRowHeight="14.4" x14ac:dyDescent="0.3"/>
  <sheetData>
    <row r="1" spans="1:29" ht="15" thickBot="1" x14ac:dyDescent="0.35">
      <c r="A1" s="1" cm="1">
        <f t="array" aca="1" ref="A1" ca="1">A1:P35</f>
        <v>0</v>
      </c>
      <c r="B1" s="62" t="s">
        <v>0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3"/>
    </row>
    <row r="2" spans="1:29" ht="15" thickBot="1" x14ac:dyDescent="0.35">
      <c r="A2" s="22"/>
      <c r="B2" s="62" t="str">
        <f ca="1">"SEMAINE "&amp;_xlfn.SHEET()</f>
        <v>SEMAINE 21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3"/>
    </row>
    <row r="3" spans="1:29" x14ac:dyDescent="0.3">
      <c r="A3" s="23"/>
      <c r="B3" s="64" t="s">
        <v>1</v>
      </c>
      <c r="C3" s="65"/>
      <c r="D3" s="64" t="s">
        <v>2</v>
      </c>
      <c r="E3" s="65"/>
      <c r="F3" s="64" t="s">
        <v>3</v>
      </c>
      <c r="G3" s="65"/>
      <c r="H3" s="64" t="s">
        <v>4</v>
      </c>
      <c r="I3" s="65"/>
      <c r="J3" s="64" t="s">
        <v>5</v>
      </c>
      <c r="K3" s="65"/>
      <c r="L3" s="64" t="s">
        <v>6</v>
      </c>
      <c r="M3" s="65"/>
      <c r="N3" s="64" t="s">
        <v>7</v>
      </c>
      <c r="O3" s="65"/>
      <c r="P3" s="24" t="s">
        <v>8</v>
      </c>
      <c r="W3" s="25" t="e">
        <f t="shared" ref="W3:W20" si="0">C3-B3</f>
        <v>#VALUE!</v>
      </c>
      <c r="X3" s="25" t="e">
        <f t="shared" ref="X3:X20" si="1">E3-D3</f>
        <v>#VALUE!</v>
      </c>
      <c r="Y3" s="25" t="e">
        <f t="shared" ref="Y3:Y20" si="2">G3-F3</f>
        <v>#VALUE!</v>
      </c>
      <c r="Z3" s="25" t="e">
        <f t="shared" ref="Z3:Z20" si="3">I3-H3</f>
        <v>#VALUE!</v>
      </c>
      <c r="AA3" s="25" t="e">
        <f t="shared" ref="AA3:AA20" si="4">K3-J3</f>
        <v>#VALUE!</v>
      </c>
      <c r="AB3" s="25" t="e">
        <f t="shared" ref="AB3:AB20" si="5">M3-L3</f>
        <v>#VALUE!</v>
      </c>
      <c r="AC3" s="25" t="e">
        <f t="shared" ref="AC3:AC20" si="6">O3-N3</f>
        <v>#VALUE!</v>
      </c>
    </row>
    <row r="4" spans="1:29" x14ac:dyDescent="0.3">
      <c r="A4" s="26"/>
      <c r="B4" s="66">
        <v>46160</v>
      </c>
      <c r="C4" s="66"/>
      <c r="D4" s="66">
        <v>46161</v>
      </c>
      <c r="E4" s="66"/>
      <c r="F4" s="66">
        <v>46162</v>
      </c>
      <c r="G4" s="66"/>
      <c r="H4" s="66">
        <v>46163</v>
      </c>
      <c r="I4" s="66"/>
      <c r="J4" s="66">
        <v>46164</v>
      </c>
      <c r="K4" s="66"/>
      <c r="L4" s="66">
        <v>46165</v>
      </c>
      <c r="M4" s="66"/>
      <c r="N4" s="66">
        <v>46166</v>
      </c>
      <c r="O4" s="66"/>
      <c r="P4" s="27"/>
      <c r="W4" s="25">
        <f t="shared" si="0"/>
        <v>-46160</v>
      </c>
      <c r="X4" s="25">
        <f t="shared" si="1"/>
        <v>-46161</v>
      </c>
      <c r="Y4" s="25">
        <f t="shared" si="2"/>
        <v>-46162</v>
      </c>
      <c r="Z4" s="25">
        <f t="shared" si="3"/>
        <v>-46163</v>
      </c>
      <c r="AA4" s="25">
        <f t="shared" si="4"/>
        <v>-46164</v>
      </c>
      <c r="AB4" s="25">
        <f t="shared" si="5"/>
        <v>-46165</v>
      </c>
      <c r="AC4" s="25">
        <f t="shared" si="6"/>
        <v>-46166</v>
      </c>
    </row>
    <row r="5" spans="1:29" x14ac:dyDescent="0.3">
      <c r="A5" s="28" t="s">
        <v>9</v>
      </c>
      <c r="B5" s="58"/>
      <c r="C5" s="59"/>
      <c r="D5" s="58"/>
      <c r="E5" s="59"/>
      <c r="F5" s="58"/>
      <c r="G5" s="59"/>
      <c r="H5" s="58"/>
      <c r="I5" s="59"/>
      <c r="J5" s="58"/>
      <c r="K5" s="59"/>
      <c r="L5" s="58"/>
      <c r="M5" s="59"/>
      <c r="N5" s="58"/>
      <c r="O5" s="59"/>
      <c r="P5" s="27"/>
      <c r="W5" s="25">
        <f t="shared" si="0"/>
        <v>0</v>
      </c>
      <c r="X5" s="25">
        <f t="shared" si="1"/>
        <v>0</v>
      </c>
      <c r="Y5" s="25">
        <f t="shared" si="2"/>
        <v>0</v>
      </c>
      <c r="Z5" s="25">
        <f t="shared" si="3"/>
        <v>0</v>
      </c>
      <c r="AA5" s="25">
        <f t="shared" si="4"/>
        <v>0</v>
      </c>
      <c r="AB5" s="25">
        <f t="shared" si="5"/>
        <v>0</v>
      </c>
      <c r="AC5" s="25">
        <f t="shared" si="6"/>
        <v>0</v>
      </c>
    </row>
    <row r="6" spans="1:29" x14ac:dyDescent="0.3">
      <c r="A6" s="29" t="s">
        <v>10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2">
        <f>W6+X6+Y6+Z6+AA6+AB6+AC6</f>
        <v>0</v>
      </c>
      <c r="W6" s="25">
        <f t="shared" si="0"/>
        <v>0</v>
      </c>
      <c r="X6" s="25">
        <f t="shared" si="1"/>
        <v>0</v>
      </c>
      <c r="Y6" s="25">
        <f t="shared" si="2"/>
        <v>0</v>
      </c>
      <c r="Z6" s="25">
        <f t="shared" si="3"/>
        <v>0</v>
      </c>
      <c r="AA6" s="25">
        <f t="shared" si="4"/>
        <v>0</v>
      </c>
      <c r="AB6" s="25">
        <f t="shared" si="5"/>
        <v>0</v>
      </c>
      <c r="AC6" s="25">
        <f t="shared" si="6"/>
        <v>0</v>
      </c>
    </row>
    <row r="7" spans="1:29" x14ac:dyDescent="0.3">
      <c r="A7" s="33" t="s">
        <v>12</v>
      </c>
      <c r="B7" s="34">
        <v>0.41666666666666669</v>
      </c>
      <c r="C7" s="34">
        <v>0.70833333333333337</v>
      </c>
      <c r="D7" s="34">
        <v>0.41666666666666669</v>
      </c>
      <c r="E7" s="34">
        <v>0.70833333333333337</v>
      </c>
      <c r="F7" s="34">
        <v>0.41666666666666669</v>
      </c>
      <c r="G7" s="34">
        <v>0.70833333333333337</v>
      </c>
      <c r="H7" s="34">
        <v>0.41666666666666669</v>
      </c>
      <c r="I7" s="34">
        <v>0.70833333333333337</v>
      </c>
      <c r="J7" s="34">
        <v>0.41666666666666669</v>
      </c>
      <c r="K7" s="34">
        <v>0.70833333333333337</v>
      </c>
      <c r="L7" s="31"/>
      <c r="M7" s="31"/>
      <c r="N7" s="31"/>
      <c r="O7" s="31"/>
      <c r="P7" s="32">
        <f t="shared" ref="P7:P11" si="7">W7+X7+Y7+Z7+AA7+AB7+AC7</f>
        <v>1.4583333333333335</v>
      </c>
      <c r="W7" s="25">
        <f t="shared" si="0"/>
        <v>0.29166666666666669</v>
      </c>
      <c r="X7" s="25">
        <f t="shared" si="1"/>
        <v>0.29166666666666669</v>
      </c>
      <c r="Y7" s="25">
        <f t="shared" si="2"/>
        <v>0.29166666666666669</v>
      </c>
      <c r="Z7" s="25">
        <f t="shared" si="3"/>
        <v>0.29166666666666669</v>
      </c>
      <c r="AA7" s="25">
        <f t="shared" si="4"/>
        <v>0.29166666666666669</v>
      </c>
      <c r="AB7" s="25">
        <f t="shared" si="5"/>
        <v>0</v>
      </c>
      <c r="AC7" s="25">
        <f t="shared" si="6"/>
        <v>0</v>
      </c>
    </row>
    <row r="8" spans="1:29" x14ac:dyDescent="0.3">
      <c r="A8" s="28" t="s">
        <v>36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4">
        <v>0.48958333333333331</v>
      </c>
      <c r="M8" s="34">
        <v>0.63541666666666663</v>
      </c>
      <c r="N8" s="34">
        <v>0.48958333333333331</v>
      </c>
      <c r="O8" s="34">
        <v>0.63541666666666663</v>
      </c>
      <c r="P8" s="32">
        <f t="shared" si="7"/>
        <v>0.29166666666666663</v>
      </c>
      <c r="W8" s="25">
        <f t="shared" si="0"/>
        <v>0</v>
      </c>
      <c r="X8" s="25">
        <f t="shared" si="1"/>
        <v>0</v>
      </c>
      <c r="Y8" s="25">
        <f t="shared" si="2"/>
        <v>0</v>
      </c>
      <c r="Z8" s="25">
        <f t="shared" si="3"/>
        <v>0</v>
      </c>
      <c r="AA8" s="25">
        <f t="shared" si="4"/>
        <v>0</v>
      </c>
      <c r="AB8" s="25">
        <f t="shared" si="5"/>
        <v>0.14583333333333331</v>
      </c>
      <c r="AC8" s="25">
        <f t="shared" si="6"/>
        <v>0.14583333333333331</v>
      </c>
    </row>
    <row r="9" spans="1:29" x14ac:dyDescent="0.3">
      <c r="A9" s="28" t="s">
        <v>37</v>
      </c>
      <c r="B9" s="34">
        <v>0.39583333333333331</v>
      </c>
      <c r="C9" s="34">
        <v>0.72916666666666663</v>
      </c>
      <c r="D9" s="34">
        <v>0.39583333333333331</v>
      </c>
      <c r="E9" s="34">
        <v>0.70833333333333337</v>
      </c>
      <c r="F9" s="34">
        <v>0.375</v>
      </c>
      <c r="G9" s="34">
        <v>0.72916666666666663</v>
      </c>
      <c r="H9" s="31"/>
      <c r="I9" s="31"/>
      <c r="J9" s="31"/>
      <c r="K9" s="31"/>
      <c r="L9" s="34">
        <v>0.39583333333333331</v>
      </c>
      <c r="M9" s="34">
        <v>0.70833333333333337</v>
      </c>
      <c r="N9" s="34">
        <v>0.39583333333333331</v>
      </c>
      <c r="O9" s="34">
        <v>0.70833333333333337</v>
      </c>
      <c r="P9" s="32">
        <f t="shared" si="7"/>
        <v>1.625</v>
      </c>
      <c r="W9" s="25">
        <f t="shared" si="0"/>
        <v>0.33333333333333331</v>
      </c>
      <c r="X9" s="25">
        <f t="shared" si="1"/>
        <v>0.31250000000000006</v>
      </c>
      <c r="Y9" s="25">
        <f t="shared" si="2"/>
        <v>0.35416666666666663</v>
      </c>
      <c r="Z9" s="25">
        <f t="shared" si="3"/>
        <v>0</v>
      </c>
      <c r="AA9" s="25">
        <f t="shared" si="4"/>
        <v>0</v>
      </c>
      <c r="AB9" s="25">
        <f t="shared" si="5"/>
        <v>0.31250000000000006</v>
      </c>
      <c r="AC9" s="25">
        <f t="shared" si="6"/>
        <v>0.31250000000000006</v>
      </c>
    </row>
    <row r="10" spans="1:29" x14ac:dyDescent="0.3">
      <c r="A10" s="28" t="s">
        <v>42</v>
      </c>
      <c r="B10" s="34">
        <v>0.39583333333333331</v>
      </c>
      <c r="C10" s="34">
        <v>0.72916666666666663</v>
      </c>
      <c r="D10" s="31"/>
      <c r="E10" s="31"/>
      <c r="F10" s="31"/>
      <c r="G10" s="31"/>
      <c r="H10" s="34">
        <v>0.39583333333333331</v>
      </c>
      <c r="I10" s="34">
        <v>0.70833333333333337</v>
      </c>
      <c r="J10" s="34">
        <v>0.39583333333333331</v>
      </c>
      <c r="K10" s="34">
        <v>0.72916666666666663</v>
      </c>
      <c r="L10" s="34">
        <v>0.39583333333333331</v>
      </c>
      <c r="M10" s="34">
        <v>0.72916666666666663</v>
      </c>
      <c r="N10" s="34">
        <v>0.39583333333333331</v>
      </c>
      <c r="O10" s="34">
        <v>0.70833333333333337</v>
      </c>
      <c r="P10" s="32">
        <f t="shared" si="7"/>
        <v>1.625</v>
      </c>
      <c r="W10" s="25">
        <f t="shared" si="0"/>
        <v>0.33333333333333331</v>
      </c>
      <c r="X10" s="25">
        <f t="shared" si="1"/>
        <v>0</v>
      </c>
      <c r="Y10" s="25">
        <f t="shared" si="2"/>
        <v>0</v>
      </c>
      <c r="Z10" s="25">
        <f t="shared" si="3"/>
        <v>0.31250000000000006</v>
      </c>
      <c r="AA10" s="25">
        <f t="shared" si="4"/>
        <v>0.33333333333333331</v>
      </c>
      <c r="AB10" s="25">
        <f t="shared" si="5"/>
        <v>0.33333333333333331</v>
      </c>
      <c r="AC10" s="25">
        <f t="shared" si="6"/>
        <v>0.31250000000000006</v>
      </c>
    </row>
    <row r="11" spans="1:29" x14ac:dyDescent="0.3">
      <c r="A11" s="28" t="s">
        <v>45</v>
      </c>
      <c r="B11" s="34">
        <v>0.39583333333333331</v>
      </c>
      <c r="C11" s="34">
        <v>0.70833333333333337</v>
      </c>
      <c r="D11" s="34">
        <v>0.39583333333333331</v>
      </c>
      <c r="E11" s="34">
        <v>0.72916666666666663</v>
      </c>
      <c r="F11" s="31"/>
      <c r="G11" s="31"/>
      <c r="H11" s="31"/>
      <c r="I11" s="31"/>
      <c r="J11" s="34">
        <v>0.375</v>
      </c>
      <c r="K11" s="34">
        <v>0.70833333333333337</v>
      </c>
      <c r="L11" s="34">
        <v>0.39583333333333331</v>
      </c>
      <c r="M11" s="34">
        <v>0.72916666666666663</v>
      </c>
      <c r="N11" s="34">
        <v>0.39583333333333331</v>
      </c>
      <c r="O11" s="34">
        <v>0.70833333333333337</v>
      </c>
      <c r="P11" s="32">
        <f t="shared" si="7"/>
        <v>1.625</v>
      </c>
      <c r="W11" s="25">
        <f t="shared" si="0"/>
        <v>0.31250000000000006</v>
      </c>
      <c r="X11" s="25">
        <f t="shared" si="1"/>
        <v>0.33333333333333331</v>
      </c>
      <c r="Y11" s="25">
        <f t="shared" si="2"/>
        <v>0</v>
      </c>
      <c r="Z11" s="25">
        <f t="shared" si="3"/>
        <v>0</v>
      </c>
      <c r="AA11" s="25">
        <f t="shared" si="4"/>
        <v>0.33333333333333337</v>
      </c>
      <c r="AB11" s="25">
        <f t="shared" si="5"/>
        <v>0.33333333333333331</v>
      </c>
      <c r="AC11" s="25">
        <f t="shared" si="6"/>
        <v>0.31250000000000006</v>
      </c>
    </row>
    <row r="12" spans="1:29" x14ac:dyDescent="0.3">
      <c r="A12" s="28" t="s">
        <v>14</v>
      </c>
      <c r="B12" s="31"/>
      <c r="C12" s="31"/>
      <c r="D12" s="14">
        <v>0.41666666666666669</v>
      </c>
      <c r="E12" s="14">
        <v>0.70833333333333337</v>
      </c>
      <c r="F12" s="14">
        <v>0.375</v>
      </c>
      <c r="G12" s="14">
        <v>0.75</v>
      </c>
      <c r="H12" s="14">
        <v>0.39583333333333331</v>
      </c>
      <c r="I12" s="14">
        <v>0.72916666666666663</v>
      </c>
      <c r="J12" s="14">
        <v>0.375</v>
      </c>
      <c r="K12" s="14">
        <v>0.70833333333333337</v>
      </c>
      <c r="L12" s="14">
        <v>0.41666666666666669</v>
      </c>
      <c r="M12" s="14">
        <v>0.70833333333333337</v>
      </c>
      <c r="N12" s="31"/>
      <c r="O12" s="31"/>
      <c r="P12" s="38">
        <f>W12+X12+Y12+Z12+AA12+AB12+AC12</f>
        <v>1.6250000000000002</v>
      </c>
      <c r="W12" s="25">
        <f t="shared" si="0"/>
        <v>0</v>
      </c>
      <c r="X12" s="25">
        <f t="shared" si="1"/>
        <v>0.29166666666666669</v>
      </c>
      <c r="Y12" s="25">
        <f t="shared" si="2"/>
        <v>0.375</v>
      </c>
      <c r="Z12" s="25">
        <f t="shared" si="3"/>
        <v>0.33333333333333331</v>
      </c>
      <c r="AA12" s="25">
        <f t="shared" si="4"/>
        <v>0.33333333333333337</v>
      </c>
      <c r="AB12" s="25">
        <f t="shared" si="5"/>
        <v>0.29166666666666669</v>
      </c>
      <c r="AC12" s="25">
        <f t="shared" si="6"/>
        <v>0</v>
      </c>
    </row>
    <row r="13" spans="1:29" x14ac:dyDescent="0.3">
      <c r="A13" s="35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51"/>
      <c r="W13" s="25">
        <f t="shared" si="0"/>
        <v>0</v>
      </c>
      <c r="X13" s="25">
        <f t="shared" si="1"/>
        <v>0</v>
      </c>
      <c r="Y13" s="25">
        <f t="shared" si="2"/>
        <v>0</v>
      </c>
      <c r="Z13" s="25">
        <f t="shared" si="3"/>
        <v>0</v>
      </c>
      <c r="AA13" s="25">
        <f t="shared" si="4"/>
        <v>0</v>
      </c>
      <c r="AB13" s="25">
        <f t="shared" si="5"/>
        <v>0</v>
      </c>
      <c r="AC13" s="25">
        <f t="shared" si="6"/>
        <v>0</v>
      </c>
    </row>
    <row r="14" spans="1:29" x14ac:dyDescent="0.3">
      <c r="A14" s="29" t="s">
        <v>16</v>
      </c>
      <c r="B14" s="31"/>
      <c r="C14" s="31"/>
      <c r="D14" s="37">
        <v>0.70833333333333337</v>
      </c>
      <c r="E14" s="37">
        <v>1.0625</v>
      </c>
      <c r="F14" s="37">
        <v>0.72916666666666663</v>
      </c>
      <c r="G14" s="37">
        <v>1.0625</v>
      </c>
      <c r="H14" s="37">
        <v>0.70833333333333304</v>
      </c>
      <c r="I14" s="37">
        <v>1.0625</v>
      </c>
      <c r="J14" s="37">
        <v>0.70833333333333304</v>
      </c>
      <c r="K14" s="37">
        <v>1.0625</v>
      </c>
      <c r="L14" s="37">
        <v>0.70833333333333304</v>
      </c>
      <c r="M14" s="37">
        <v>1.0625</v>
      </c>
      <c r="N14" s="37">
        <v>0.70833333333333304</v>
      </c>
      <c r="O14" s="37">
        <v>1.0208333333333333</v>
      </c>
      <c r="P14" s="38">
        <f t="shared" ref="P14:P19" si="8">W14+X14+Y14+Z14+AA14+AB14+AC14</f>
        <v>2.0625000000000009</v>
      </c>
      <c r="W14" s="25">
        <f t="shared" si="0"/>
        <v>0</v>
      </c>
      <c r="X14" s="25">
        <f t="shared" si="1"/>
        <v>0.35416666666666663</v>
      </c>
      <c r="Y14" s="25">
        <f t="shared" si="2"/>
        <v>0.33333333333333337</v>
      </c>
      <c r="Z14" s="25">
        <f t="shared" si="3"/>
        <v>0.35416666666666696</v>
      </c>
      <c r="AA14" s="25">
        <f t="shared" si="4"/>
        <v>0.35416666666666696</v>
      </c>
      <c r="AB14" s="25">
        <f t="shared" si="5"/>
        <v>0.35416666666666696</v>
      </c>
      <c r="AC14" s="25">
        <f t="shared" si="6"/>
        <v>0.31250000000000022</v>
      </c>
    </row>
    <row r="15" spans="1:29" x14ac:dyDescent="0.3">
      <c r="A15" s="29" t="s">
        <v>17</v>
      </c>
      <c r="B15" s="37">
        <v>0.70833333333333337</v>
      </c>
      <c r="C15" s="37">
        <v>1.0208333333333299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8">
        <f t="shared" si="8"/>
        <v>0.31249999999999656</v>
      </c>
      <c r="W15" s="25">
        <f t="shared" si="0"/>
        <v>0.31249999999999656</v>
      </c>
      <c r="X15" s="25">
        <f>E15-D15</f>
        <v>0</v>
      </c>
      <c r="Y15" s="25">
        <f t="shared" si="2"/>
        <v>0</v>
      </c>
      <c r="Z15" s="25">
        <f t="shared" si="3"/>
        <v>0</v>
      </c>
      <c r="AA15" s="25">
        <f t="shared" si="4"/>
        <v>0</v>
      </c>
      <c r="AB15" s="25">
        <f t="shared" si="5"/>
        <v>0</v>
      </c>
      <c r="AC15" s="25">
        <f>O15-N15</f>
        <v>0</v>
      </c>
    </row>
    <row r="16" spans="1:29" x14ac:dyDescent="0.3">
      <c r="A16" s="29" t="s">
        <v>21</v>
      </c>
      <c r="B16" s="39"/>
      <c r="C16" s="39"/>
      <c r="D16" s="37">
        <v>0.70833333333333337</v>
      </c>
      <c r="E16" s="37">
        <v>1.0625</v>
      </c>
      <c r="F16" s="37">
        <v>0.70833333333333337</v>
      </c>
      <c r="G16" s="37">
        <v>1.0625</v>
      </c>
      <c r="H16" s="37">
        <v>0.72916666666666663</v>
      </c>
      <c r="I16" s="37">
        <v>1.0625</v>
      </c>
      <c r="J16" s="37">
        <v>0.70833333333333337</v>
      </c>
      <c r="K16" s="37">
        <v>1.0625</v>
      </c>
      <c r="L16" s="37">
        <v>0.70833333333333337</v>
      </c>
      <c r="M16" s="37">
        <v>1.0625</v>
      </c>
      <c r="N16" s="31"/>
      <c r="O16" s="31"/>
      <c r="P16" s="38">
        <f t="shared" si="8"/>
        <v>1.7499999999999996</v>
      </c>
      <c r="W16" s="25">
        <f t="shared" si="0"/>
        <v>0</v>
      </c>
      <c r="X16" s="25">
        <f t="shared" si="1"/>
        <v>0.35416666666666663</v>
      </c>
      <c r="Y16" s="25">
        <f t="shared" si="2"/>
        <v>0.35416666666666663</v>
      </c>
      <c r="Z16" s="25">
        <f t="shared" si="3"/>
        <v>0.33333333333333337</v>
      </c>
      <c r="AA16" s="25">
        <f t="shared" si="4"/>
        <v>0.35416666666666663</v>
      </c>
      <c r="AB16" s="25">
        <f t="shared" si="5"/>
        <v>0.35416666666666663</v>
      </c>
      <c r="AC16" s="25">
        <f>O16-N16</f>
        <v>0</v>
      </c>
    </row>
    <row r="17" spans="1:29" x14ac:dyDescent="0.3">
      <c r="A17" s="40" t="s">
        <v>18</v>
      </c>
      <c r="B17" s="37">
        <v>0.72916666666666663</v>
      </c>
      <c r="C17" s="37">
        <v>1.0208333333333299</v>
      </c>
      <c r="D17" s="37">
        <v>0.70833333333333337</v>
      </c>
      <c r="E17" s="37">
        <v>1.0625</v>
      </c>
      <c r="F17" s="37">
        <v>0.75</v>
      </c>
      <c r="G17" s="37">
        <v>1.0625</v>
      </c>
      <c r="H17" s="39"/>
      <c r="I17" s="39"/>
      <c r="J17" s="39"/>
      <c r="K17" s="39"/>
      <c r="L17" s="37">
        <v>0.70833333333333337</v>
      </c>
      <c r="M17" s="37">
        <v>1.0625</v>
      </c>
      <c r="N17" s="37">
        <v>0.70833333333333337</v>
      </c>
      <c r="O17" s="37">
        <v>1.0208333333333333</v>
      </c>
      <c r="P17" s="38">
        <f t="shared" si="8"/>
        <v>1.6249999999999964</v>
      </c>
      <c r="W17" s="25">
        <f t="shared" si="0"/>
        <v>0.2916666666666633</v>
      </c>
      <c r="X17" s="25">
        <f t="shared" si="1"/>
        <v>0.35416666666666663</v>
      </c>
      <c r="Y17" s="25">
        <f t="shared" si="2"/>
        <v>0.3125</v>
      </c>
      <c r="Z17" s="25">
        <f t="shared" si="3"/>
        <v>0</v>
      </c>
      <c r="AA17" s="25">
        <f t="shared" si="4"/>
        <v>0</v>
      </c>
      <c r="AB17" s="25">
        <f t="shared" si="5"/>
        <v>0.35416666666666663</v>
      </c>
      <c r="AC17" s="25">
        <f t="shared" si="6"/>
        <v>0.31249999999999989</v>
      </c>
    </row>
    <row r="18" spans="1:29" x14ac:dyDescent="0.3">
      <c r="A18" s="28" t="s">
        <v>26</v>
      </c>
      <c r="B18" s="37">
        <v>0.72916666666666663</v>
      </c>
      <c r="C18" s="37">
        <v>1.0208333333333333</v>
      </c>
      <c r="D18" s="31"/>
      <c r="E18" s="31"/>
      <c r="F18" s="31"/>
      <c r="G18" s="31"/>
      <c r="H18" s="37">
        <v>0.75</v>
      </c>
      <c r="I18" s="37">
        <v>1.0625</v>
      </c>
      <c r="J18" s="37">
        <v>0.70833333333333337</v>
      </c>
      <c r="K18" s="37">
        <v>1.0625</v>
      </c>
      <c r="L18" s="37">
        <v>0.70833333333333337</v>
      </c>
      <c r="M18" s="37">
        <v>1.0625</v>
      </c>
      <c r="N18" s="57"/>
      <c r="O18" s="57"/>
      <c r="P18" s="38">
        <f t="shared" si="8"/>
        <v>1.3125</v>
      </c>
      <c r="W18" s="25">
        <f t="shared" si="0"/>
        <v>0.29166666666666663</v>
      </c>
      <c r="X18" s="25">
        <f t="shared" si="1"/>
        <v>0</v>
      </c>
      <c r="Y18" s="25">
        <f t="shared" si="2"/>
        <v>0</v>
      </c>
      <c r="Z18" s="25">
        <f t="shared" si="3"/>
        <v>0.3125</v>
      </c>
      <c r="AA18" s="25">
        <f t="shared" si="4"/>
        <v>0.35416666666666663</v>
      </c>
      <c r="AB18" s="25">
        <f t="shared" si="5"/>
        <v>0.35416666666666663</v>
      </c>
      <c r="AC18" s="25">
        <f>O18-N18</f>
        <v>0</v>
      </c>
    </row>
    <row r="19" spans="1:29" x14ac:dyDescent="0.3">
      <c r="A19" s="40" t="s">
        <v>46</v>
      </c>
      <c r="B19" s="39"/>
      <c r="C19" s="39"/>
      <c r="D19" s="37">
        <v>0.72916666666666663</v>
      </c>
      <c r="E19" s="37">
        <v>1.0625</v>
      </c>
      <c r="F19" s="37">
        <v>0.75</v>
      </c>
      <c r="G19" s="37">
        <v>1.0625</v>
      </c>
      <c r="H19" s="37">
        <v>0.75</v>
      </c>
      <c r="I19" s="37">
        <v>1.0625</v>
      </c>
      <c r="J19" s="37">
        <v>0.75</v>
      </c>
      <c r="K19" s="37">
        <v>1.0625</v>
      </c>
      <c r="L19" s="37">
        <v>0.70833333333333337</v>
      </c>
      <c r="M19" s="37">
        <v>1.0625</v>
      </c>
      <c r="N19" s="37">
        <v>0.70833333333333337</v>
      </c>
      <c r="O19" s="37">
        <v>1.0208333333333333</v>
      </c>
      <c r="P19" s="38">
        <f t="shared" si="8"/>
        <v>1.9375</v>
      </c>
      <c r="W19" s="25">
        <f t="shared" si="0"/>
        <v>0</v>
      </c>
      <c r="X19" s="25">
        <f t="shared" si="1"/>
        <v>0.33333333333333337</v>
      </c>
      <c r="Y19" s="25">
        <f t="shared" si="2"/>
        <v>0.3125</v>
      </c>
      <c r="Z19" s="25">
        <f t="shared" si="3"/>
        <v>0.3125</v>
      </c>
      <c r="AA19" s="25">
        <f t="shared" si="4"/>
        <v>0.3125</v>
      </c>
      <c r="AB19" s="25">
        <f t="shared" si="5"/>
        <v>0.35416666666666663</v>
      </c>
      <c r="AC19" s="25">
        <f>O19-N19</f>
        <v>0.31249999999999989</v>
      </c>
    </row>
    <row r="20" spans="1:29" ht="15" thickBot="1" x14ac:dyDescent="0.35">
      <c r="A20" s="52" t="e" cm="1">
        <f t="array" ref="A20">+A20:PA20:P+A20:P363628A1:P2A1:P47</f>
        <v>#NAME?</v>
      </c>
      <c r="B20" s="60" t="s">
        <v>0</v>
      </c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1"/>
      <c r="W20" s="25" t="e">
        <f t="shared" si="0"/>
        <v>#VALUE!</v>
      </c>
      <c r="X20" s="25">
        <f t="shared" si="1"/>
        <v>0</v>
      </c>
      <c r="Y20" s="25">
        <f t="shared" si="2"/>
        <v>0</v>
      </c>
      <c r="Z20" s="25">
        <f t="shared" si="3"/>
        <v>0</v>
      </c>
      <c r="AA20" s="25">
        <f t="shared" si="4"/>
        <v>0</v>
      </c>
      <c r="AB20" s="25">
        <f t="shared" si="5"/>
        <v>0</v>
      </c>
      <c r="AC20" s="25">
        <f t="shared" si="6"/>
        <v>0</v>
      </c>
    </row>
    <row r="21" spans="1:29" ht="15" thickBot="1" x14ac:dyDescent="0.35">
      <c r="A21" s="53"/>
      <c r="B21" s="62" t="str">
        <f ca="1">B2</f>
        <v>SEMAINE 21</v>
      </c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3"/>
    </row>
    <row r="22" spans="1:29" x14ac:dyDescent="0.3">
      <c r="A22" s="23"/>
      <c r="B22" s="64" t="s">
        <v>1</v>
      </c>
      <c r="C22" s="65"/>
      <c r="D22" s="64" t="s">
        <v>2</v>
      </c>
      <c r="E22" s="65"/>
      <c r="F22" s="64" t="s">
        <v>3</v>
      </c>
      <c r="G22" s="65"/>
      <c r="H22" s="64" t="s">
        <v>4</v>
      </c>
      <c r="I22" s="65"/>
      <c r="J22" s="64" t="s">
        <v>5</v>
      </c>
      <c r="K22" s="65"/>
      <c r="L22" s="64" t="s">
        <v>6</v>
      </c>
      <c r="M22" s="65"/>
      <c r="N22" s="64" t="s">
        <v>7</v>
      </c>
      <c r="O22" s="65"/>
      <c r="P22" s="24" t="s">
        <v>8</v>
      </c>
    </row>
    <row r="23" spans="1:29" x14ac:dyDescent="0.3">
      <c r="A23" s="26"/>
      <c r="B23" s="58">
        <f>B4</f>
        <v>46160</v>
      </c>
      <c r="C23" s="59"/>
      <c r="D23" s="58">
        <f>D4</f>
        <v>46161</v>
      </c>
      <c r="E23" s="59"/>
      <c r="F23" s="58">
        <f>F4</f>
        <v>46162</v>
      </c>
      <c r="G23" s="59"/>
      <c r="H23" s="58">
        <f>H4</f>
        <v>46163</v>
      </c>
      <c r="I23" s="59"/>
      <c r="J23" s="58">
        <f>J4</f>
        <v>46164</v>
      </c>
      <c r="K23" s="59"/>
      <c r="L23" s="58">
        <f>L4</f>
        <v>46165</v>
      </c>
      <c r="M23" s="59"/>
      <c r="N23" s="58">
        <f>N4</f>
        <v>46166</v>
      </c>
      <c r="O23" s="59"/>
      <c r="P23" s="27"/>
    </row>
    <row r="24" spans="1:29" x14ac:dyDescent="0.3">
      <c r="A24" s="28" t="s">
        <v>9</v>
      </c>
      <c r="B24" s="58"/>
      <c r="C24" s="59"/>
      <c r="D24" s="58"/>
      <c r="E24" s="59"/>
      <c r="F24" s="58"/>
      <c r="G24" s="59"/>
      <c r="H24" s="58"/>
      <c r="I24" s="59"/>
      <c r="J24" s="58"/>
      <c r="K24" s="59"/>
      <c r="L24" s="58"/>
      <c r="M24" s="59"/>
      <c r="N24" s="58"/>
      <c r="O24" s="59"/>
      <c r="P24" s="27"/>
    </row>
    <row r="25" spans="1:29" x14ac:dyDescent="0.3">
      <c r="A25" s="29" t="s">
        <v>10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2"/>
    </row>
    <row r="26" spans="1:29" x14ac:dyDescent="0.3">
      <c r="A26" s="33" t="s">
        <v>12</v>
      </c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1"/>
      <c r="M26" s="31"/>
      <c r="N26" s="31"/>
      <c r="O26" s="31"/>
      <c r="P26" s="32"/>
    </row>
    <row r="27" spans="1:29" x14ac:dyDescent="0.3">
      <c r="A27" s="28" t="s">
        <v>36</v>
      </c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4"/>
      <c r="M27" s="34"/>
      <c r="N27" s="34"/>
      <c r="O27" s="34"/>
      <c r="P27" s="32"/>
    </row>
    <row r="28" spans="1:29" x14ac:dyDescent="0.3">
      <c r="A28" s="28" t="s">
        <v>37</v>
      </c>
      <c r="B28" s="34"/>
      <c r="C28" s="34"/>
      <c r="D28" s="34"/>
      <c r="E28" s="34"/>
      <c r="F28" s="34"/>
      <c r="G28" s="34"/>
      <c r="H28" s="31"/>
      <c r="I28" s="31"/>
      <c r="J28" s="31"/>
      <c r="K28" s="31"/>
      <c r="L28" s="34"/>
      <c r="M28" s="34"/>
      <c r="N28" s="34"/>
      <c r="O28" s="34"/>
      <c r="P28" s="32"/>
    </row>
    <row r="29" spans="1:29" x14ac:dyDescent="0.3">
      <c r="A29" s="28" t="s">
        <v>42</v>
      </c>
      <c r="B29" s="34"/>
      <c r="C29" s="34"/>
      <c r="D29" s="31"/>
      <c r="E29" s="31"/>
      <c r="F29" s="31"/>
      <c r="G29" s="31"/>
      <c r="H29" s="34"/>
      <c r="I29" s="34"/>
      <c r="J29" s="34"/>
      <c r="K29" s="34"/>
      <c r="L29" s="34"/>
      <c r="M29" s="34"/>
      <c r="N29" s="34"/>
      <c r="O29" s="34"/>
      <c r="P29" s="32"/>
    </row>
    <row r="30" spans="1:29" x14ac:dyDescent="0.3">
      <c r="A30" s="28" t="s">
        <v>45</v>
      </c>
      <c r="B30" s="34"/>
      <c r="C30" s="34"/>
      <c r="D30" s="34"/>
      <c r="E30" s="34"/>
      <c r="F30" s="31"/>
      <c r="G30" s="31"/>
      <c r="H30" s="31"/>
      <c r="I30" s="31"/>
      <c r="J30" s="34"/>
      <c r="K30" s="34"/>
      <c r="L30" s="34"/>
      <c r="M30" s="34"/>
      <c r="N30" s="34"/>
      <c r="O30" s="34"/>
      <c r="P30" s="32"/>
    </row>
    <row r="31" spans="1:29" x14ac:dyDescent="0.3">
      <c r="A31" s="28" t="s">
        <v>14</v>
      </c>
      <c r="B31" s="31"/>
      <c r="C31" s="31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31"/>
      <c r="O31" s="31"/>
      <c r="P31" s="38"/>
    </row>
    <row r="32" spans="1:29" x14ac:dyDescent="0.3">
      <c r="A32" s="35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51"/>
    </row>
    <row r="33" spans="1:16" x14ac:dyDescent="0.3">
      <c r="A33" s="29" t="s">
        <v>16</v>
      </c>
      <c r="B33" s="31"/>
      <c r="C33" s="31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1"/>
      <c r="O33" s="31"/>
      <c r="P33" s="38"/>
    </row>
    <row r="34" spans="1:16" x14ac:dyDescent="0.3">
      <c r="A34" s="29" t="s">
        <v>17</v>
      </c>
      <c r="B34" s="37"/>
      <c r="C34" s="37"/>
      <c r="D34" s="31"/>
      <c r="E34" s="31"/>
      <c r="F34" s="31"/>
      <c r="G34" s="31"/>
      <c r="H34" s="37"/>
      <c r="I34" s="37"/>
      <c r="J34" s="37"/>
      <c r="K34" s="37"/>
      <c r="L34" s="37"/>
      <c r="M34" s="37"/>
      <c r="N34" s="37"/>
      <c r="O34" s="37"/>
      <c r="P34" s="38"/>
    </row>
    <row r="35" spans="1:16" x14ac:dyDescent="0.3">
      <c r="A35" s="29" t="s">
        <v>21</v>
      </c>
      <c r="B35" s="39"/>
      <c r="C35" s="39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1"/>
      <c r="O35" s="31"/>
      <c r="P35" s="38"/>
    </row>
    <row r="36" spans="1:16" x14ac:dyDescent="0.3">
      <c r="A36" s="40" t="s">
        <v>18</v>
      </c>
      <c r="B36" s="37"/>
      <c r="C36" s="37"/>
      <c r="D36" s="37"/>
      <c r="E36" s="37"/>
      <c r="F36" s="37"/>
      <c r="G36" s="37"/>
      <c r="H36" s="39"/>
      <c r="I36" s="39"/>
      <c r="J36" s="39"/>
      <c r="K36" s="39"/>
      <c r="L36" s="37"/>
      <c r="M36" s="37"/>
      <c r="N36" s="37"/>
      <c r="O36" s="37"/>
      <c r="P36" s="38"/>
    </row>
    <row r="37" spans="1:16" x14ac:dyDescent="0.3">
      <c r="A37" s="28" t="s">
        <v>26</v>
      </c>
      <c r="B37" s="37"/>
      <c r="C37" s="37"/>
      <c r="D37" s="31"/>
      <c r="E37" s="31"/>
      <c r="F37" s="31"/>
      <c r="G37" s="31"/>
      <c r="H37" s="37"/>
      <c r="I37" s="37"/>
      <c r="J37" s="37"/>
      <c r="K37" s="37"/>
      <c r="L37" s="37"/>
      <c r="M37" s="37"/>
      <c r="N37" s="55"/>
      <c r="O37" s="55"/>
      <c r="P37" s="38"/>
    </row>
    <row r="38" spans="1:16" x14ac:dyDescent="0.3">
      <c r="A38" s="40" t="s">
        <v>46</v>
      </c>
      <c r="B38" s="39"/>
      <c r="C38" s="39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56"/>
      <c r="O38" s="56"/>
      <c r="P38" s="38"/>
    </row>
  </sheetData>
  <mergeCells count="46">
    <mergeCell ref="B1:P1"/>
    <mergeCell ref="B2:P2"/>
    <mergeCell ref="B3:C3"/>
    <mergeCell ref="D3:E3"/>
    <mergeCell ref="F3:G3"/>
    <mergeCell ref="H3:I3"/>
    <mergeCell ref="J3:K3"/>
    <mergeCell ref="L3:M3"/>
    <mergeCell ref="N3:O3"/>
    <mergeCell ref="N4:O4"/>
    <mergeCell ref="B5:C5"/>
    <mergeCell ref="D5:E5"/>
    <mergeCell ref="F5:G5"/>
    <mergeCell ref="H5:I5"/>
    <mergeCell ref="J5:K5"/>
    <mergeCell ref="L5:M5"/>
    <mergeCell ref="N5:O5"/>
    <mergeCell ref="B4:C4"/>
    <mergeCell ref="D4:E4"/>
    <mergeCell ref="F4:G4"/>
    <mergeCell ref="H4:I4"/>
    <mergeCell ref="J4:K4"/>
    <mergeCell ref="L4:M4"/>
    <mergeCell ref="B20:P20"/>
    <mergeCell ref="B21:P21"/>
    <mergeCell ref="B22:C22"/>
    <mergeCell ref="D22:E22"/>
    <mergeCell ref="F22:G22"/>
    <mergeCell ref="H22:I22"/>
    <mergeCell ref="J22:K22"/>
    <mergeCell ref="L22:M22"/>
    <mergeCell ref="N22:O22"/>
    <mergeCell ref="N23:O23"/>
    <mergeCell ref="B24:C24"/>
    <mergeCell ref="D24:E24"/>
    <mergeCell ref="F24:G24"/>
    <mergeCell ref="H24:I24"/>
    <mergeCell ref="J24:K24"/>
    <mergeCell ref="L24:M24"/>
    <mergeCell ref="N24:O24"/>
    <mergeCell ref="B23:C23"/>
    <mergeCell ref="D23:E23"/>
    <mergeCell ref="F23:G23"/>
    <mergeCell ref="H23:I23"/>
    <mergeCell ref="J23:K23"/>
    <mergeCell ref="L23:M23"/>
  </mergeCells>
  <pageMargins left="0.25" right="0.25" top="0.75" bottom="0.75" header="0.3" footer="0.3"/>
  <pageSetup paperSize="9" scale="43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76AC7-FFF6-4ED4-8E6A-CC390DFA45A8}">
  <sheetPr>
    <pageSetUpPr fitToPage="1"/>
  </sheetPr>
  <dimension ref="A1:AC38"/>
  <sheetViews>
    <sheetView workbookViewId="0">
      <selection activeCell="C16" sqref="C16"/>
    </sheetView>
  </sheetViews>
  <sheetFormatPr baseColWidth="10" defaultRowHeight="14.4" x14ac:dyDescent="0.3"/>
  <sheetData>
    <row r="1" spans="1:29" ht="15" thickBot="1" x14ac:dyDescent="0.35">
      <c r="A1" s="1" cm="1">
        <f t="array" aca="1" ref="A1" ca="1">A1:P35</f>
        <v>0</v>
      </c>
      <c r="B1" s="62" t="s">
        <v>0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3"/>
    </row>
    <row r="2" spans="1:29" ht="15" thickBot="1" x14ac:dyDescent="0.35">
      <c r="A2" s="22"/>
      <c r="B2" s="62" t="str">
        <f ca="1">"SEMAINE "&amp;_xlfn.SHEET()</f>
        <v>SEMAINE 22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3"/>
    </row>
    <row r="3" spans="1:29" x14ac:dyDescent="0.3">
      <c r="A3" s="23"/>
      <c r="B3" s="64" t="s">
        <v>1</v>
      </c>
      <c r="C3" s="65"/>
      <c r="D3" s="64" t="s">
        <v>2</v>
      </c>
      <c r="E3" s="65"/>
      <c r="F3" s="64" t="s">
        <v>3</v>
      </c>
      <c r="G3" s="65"/>
      <c r="H3" s="64" t="s">
        <v>4</v>
      </c>
      <c r="I3" s="65"/>
      <c r="J3" s="64" t="s">
        <v>5</v>
      </c>
      <c r="K3" s="65"/>
      <c r="L3" s="64" t="s">
        <v>6</v>
      </c>
      <c r="M3" s="65"/>
      <c r="N3" s="64" t="s">
        <v>7</v>
      </c>
      <c r="O3" s="65"/>
      <c r="P3" s="24" t="s">
        <v>8</v>
      </c>
      <c r="W3" s="25" t="e">
        <f t="shared" ref="W3:W20" si="0">C3-B3</f>
        <v>#VALUE!</v>
      </c>
      <c r="X3" s="25" t="e">
        <f t="shared" ref="X3:X20" si="1">E3-D3</f>
        <v>#VALUE!</v>
      </c>
      <c r="Y3" s="25" t="e">
        <f t="shared" ref="Y3:Y20" si="2">G3-F3</f>
        <v>#VALUE!</v>
      </c>
      <c r="Z3" s="25" t="e">
        <f t="shared" ref="Z3:Z20" si="3">I3-H3</f>
        <v>#VALUE!</v>
      </c>
      <c r="AA3" s="25" t="e">
        <f t="shared" ref="AA3:AA20" si="4">K3-J3</f>
        <v>#VALUE!</v>
      </c>
      <c r="AB3" s="25" t="e">
        <f t="shared" ref="AB3:AB20" si="5">M3-L3</f>
        <v>#VALUE!</v>
      </c>
      <c r="AC3" s="25" t="e">
        <f t="shared" ref="AC3:AC17" si="6">O3-N3</f>
        <v>#VALUE!</v>
      </c>
    </row>
    <row r="4" spans="1:29" x14ac:dyDescent="0.3">
      <c r="A4" s="26"/>
      <c r="B4" s="66">
        <v>46167</v>
      </c>
      <c r="C4" s="66"/>
      <c r="D4" s="66">
        <v>46168</v>
      </c>
      <c r="E4" s="66"/>
      <c r="F4" s="66">
        <v>46169</v>
      </c>
      <c r="G4" s="66"/>
      <c r="H4" s="66">
        <v>46170</v>
      </c>
      <c r="I4" s="66"/>
      <c r="J4" s="66">
        <v>46171</v>
      </c>
      <c r="K4" s="66"/>
      <c r="L4" s="66">
        <v>46172</v>
      </c>
      <c r="M4" s="66"/>
      <c r="N4" s="66">
        <v>46173</v>
      </c>
      <c r="O4" s="66"/>
      <c r="P4" s="27"/>
      <c r="W4" s="25">
        <f t="shared" si="0"/>
        <v>-46167</v>
      </c>
      <c r="X4" s="25">
        <f t="shared" si="1"/>
        <v>-46168</v>
      </c>
      <c r="Y4" s="25">
        <f t="shared" si="2"/>
        <v>-46169</v>
      </c>
      <c r="Z4" s="25">
        <f t="shared" si="3"/>
        <v>-46170</v>
      </c>
      <c r="AA4" s="25">
        <f t="shared" si="4"/>
        <v>-46171</v>
      </c>
      <c r="AB4" s="25">
        <f t="shared" si="5"/>
        <v>-46172</v>
      </c>
      <c r="AC4" s="25">
        <f t="shared" si="6"/>
        <v>-46173</v>
      </c>
    </row>
    <row r="5" spans="1:29" x14ac:dyDescent="0.3">
      <c r="A5" s="28" t="s">
        <v>9</v>
      </c>
      <c r="B5" s="58"/>
      <c r="C5" s="59"/>
      <c r="D5" s="58"/>
      <c r="E5" s="59"/>
      <c r="F5" s="58"/>
      <c r="G5" s="59"/>
      <c r="H5" s="58"/>
      <c r="I5" s="59"/>
      <c r="J5" s="58"/>
      <c r="K5" s="59"/>
      <c r="L5" s="58"/>
      <c r="M5" s="59"/>
      <c r="N5" s="58"/>
      <c r="O5" s="59"/>
      <c r="P5" s="27"/>
      <c r="W5" s="25">
        <f t="shared" si="0"/>
        <v>0</v>
      </c>
      <c r="X5" s="25">
        <f t="shared" si="1"/>
        <v>0</v>
      </c>
      <c r="Y5" s="25">
        <f t="shared" si="2"/>
        <v>0</v>
      </c>
      <c r="Z5" s="25">
        <f t="shared" si="3"/>
        <v>0</v>
      </c>
      <c r="AA5" s="25">
        <f t="shared" si="4"/>
        <v>0</v>
      </c>
      <c r="AB5" s="25">
        <f t="shared" si="5"/>
        <v>0</v>
      </c>
      <c r="AC5" s="25">
        <f t="shared" si="6"/>
        <v>0</v>
      </c>
    </row>
    <row r="6" spans="1:29" x14ac:dyDescent="0.3">
      <c r="A6" s="29" t="s">
        <v>10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2">
        <f>W6+X6+Y6+Z6+AA6+AB6+AC6</f>
        <v>0</v>
      </c>
      <c r="W6" s="25">
        <f t="shared" si="0"/>
        <v>0</v>
      </c>
      <c r="X6" s="25">
        <f t="shared" si="1"/>
        <v>0</v>
      </c>
      <c r="Y6" s="25">
        <f t="shared" si="2"/>
        <v>0</v>
      </c>
      <c r="Z6" s="25">
        <f t="shared" si="3"/>
        <v>0</v>
      </c>
      <c r="AA6" s="25">
        <f t="shared" si="4"/>
        <v>0</v>
      </c>
      <c r="AB6" s="25">
        <f t="shared" si="5"/>
        <v>0</v>
      </c>
      <c r="AC6" s="25">
        <f t="shared" si="6"/>
        <v>0</v>
      </c>
    </row>
    <row r="7" spans="1:29" x14ac:dyDescent="0.3">
      <c r="A7" s="33" t="s">
        <v>12</v>
      </c>
      <c r="B7" s="34">
        <v>0.41666666666666669</v>
      </c>
      <c r="C7" s="34">
        <v>0.70833333333333337</v>
      </c>
      <c r="D7" s="34">
        <v>0.41666666666666669</v>
      </c>
      <c r="E7" s="34">
        <v>0.70833333333333337</v>
      </c>
      <c r="F7" s="34">
        <v>0.41666666666666669</v>
      </c>
      <c r="G7" s="34">
        <v>0.70833333333333337</v>
      </c>
      <c r="H7" s="34">
        <v>0.41666666666666669</v>
      </c>
      <c r="I7" s="34">
        <v>0.70833333333333337</v>
      </c>
      <c r="J7" s="34">
        <v>0.41666666666666669</v>
      </c>
      <c r="K7" s="34">
        <v>0.70833333333333337</v>
      </c>
      <c r="L7" s="31"/>
      <c r="M7" s="31"/>
      <c r="N7" s="31"/>
      <c r="O7" s="31"/>
      <c r="P7" s="32">
        <f t="shared" ref="P7:P11" si="7">W7+X7+Y7+Z7+AA7+AB7+AC7</f>
        <v>1.4583333333333335</v>
      </c>
      <c r="W7" s="25">
        <f t="shared" si="0"/>
        <v>0.29166666666666669</v>
      </c>
      <c r="X7" s="25">
        <f t="shared" si="1"/>
        <v>0.29166666666666669</v>
      </c>
      <c r="Y7" s="25">
        <f t="shared" si="2"/>
        <v>0.29166666666666669</v>
      </c>
      <c r="Z7" s="25">
        <f t="shared" si="3"/>
        <v>0.29166666666666669</v>
      </c>
      <c r="AA7" s="25">
        <f t="shared" si="4"/>
        <v>0.29166666666666669</v>
      </c>
      <c r="AB7" s="25">
        <f t="shared" si="5"/>
        <v>0</v>
      </c>
      <c r="AC7" s="25">
        <f t="shared" si="6"/>
        <v>0</v>
      </c>
    </row>
    <row r="8" spans="1:29" x14ac:dyDescent="0.3">
      <c r="A8" s="28" t="s">
        <v>36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4">
        <v>0.48958333333333331</v>
      </c>
      <c r="M8" s="34">
        <v>0.63541666666666663</v>
      </c>
      <c r="N8" s="34">
        <v>0.48958333333333331</v>
      </c>
      <c r="O8" s="34">
        <v>0.63541666666666663</v>
      </c>
      <c r="P8" s="32">
        <f t="shared" si="7"/>
        <v>0.29166666666666663</v>
      </c>
      <c r="W8" s="25">
        <f t="shared" si="0"/>
        <v>0</v>
      </c>
      <c r="X8" s="25">
        <f t="shared" si="1"/>
        <v>0</v>
      </c>
      <c r="Y8" s="25">
        <f t="shared" si="2"/>
        <v>0</v>
      </c>
      <c r="Z8" s="25">
        <f t="shared" si="3"/>
        <v>0</v>
      </c>
      <c r="AA8" s="25">
        <f t="shared" si="4"/>
        <v>0</v>
      </c>
      <c r="AB8" s="25">
        <f t="shared" si="5"/>
        <v>0.14583333333333331</v>
      </c>
      <c r="AC8" s="25">
        <f t="shared" si="6"/>
        <v>0.14583333333333331</v>
      </c>
    </row>
    <row r="9" spans="1:29" x14ac:dyDescent="0.3">
      <c r="A9" s="28" t="s">
        <v>37</v>
      </c>
      <c r="B9" s="34">
        <v>0.39583333333333331</v>
      </c>
      <c r="C9" s="34">
        <v>0.72916666666666663</v>
      </c>
      <c r="D9" s="34">
        <v>0.39583333333333331</v>
      </c>
      <c r="E9" s="34">
        <v>0.70833333333333337</v>
      </c>
      <c r="F9" s="34">
        <v>0.375</v>
      </c>
      <c r="G9" s="34">
        <v>0.72916666666666663</v>
      </c>
      <c r="H9" s="31"/>
      <c r="I9" s="31"/>
      <c r="J9" s="31"/>
      <c r="K9" s="31"/>
      <c r="L9" s="34">
        <v>0.39583333333333331</v>
      </c>
      <c r="M9" s="34">
        <v>0.70833333333333337</v>
      </c>
      <c r="N9" s="34">
        <v>0.39583333333333331</v>
      </c>
      <c r="O9" s="34">
        <v>0.70833333333333337</v>
      </c>
      <c r="P9" s="32">
        <f t="shared" si="7"/>
        <v>1.625</v>
      </c>
      <c r="W9" s="25">
        <f t="shared" si="0"/>
        <v>0.33333333333333331</v>
      </c>
      <c r="X9" s="25">
        <f t="shared" si="1"/>
        <v>0.31250000000000006</v>
      </c>
      <c r="Y9" s="25">
        <f t="shared" si="2"/>
        <v>0.35416666666666663</v>
      </c>
      <c r="Z9" s="25">
        <f t="shared" si="3"/>
        <v>0</v>
      </c>
      <c r="AA9" s="25">
        <f t="shared" si="4"/>
        <v>0</v>
      </c>
      <c r="AB9" s="25">
        <f t="shared" si="5"/>
        <v>0.31250000000000006</v>
      </c>
      <c r="AC9" s="25">
        <f t="shared" si="6"/>
        <v>0.31250000000000006</v>
      </c>
    </row>
    <row r="10" spans="1:29" x14ac:dyDescent="0.3">
      <c r="A10" s="28" t="s">
        <v>42</v>
      </c>
      <c r="B10" s="34">
        <v>0.39583333333333331</v>
      </c>
      <c r="C10" s="34">
        <v>0.72916666666666663</v>
      </c>
      <c r="D10" s="31"/>
      <c r="E10" s="31"/>
      <c r="F10" s="31"/>
      <c r="G10" s="31"/>
      <c r="H10" s="34">
        <v>0.39583333333333331</v>
      </c>
      <c r="I10" s="34">
        <v>0.70833333333333337</v>
      </c>
      <c r="J10" s="34">
        <v>0.39583333333333331</v>
      </c>
      <c r="K10" s="34">
        <v>0.72916666666666663</v>
      </c>
      <c r="L10" s="34">
        <v>0.39583333333333331</v>
      </c>
      <c r="M10" s="34">
        <v>0.72916666666666663</v>
      </c>
      <c r="N10" s="34">
        <v>0.39583333333333331</v>
      </c>
      <c r="O10" s="34">
        <v>0.70833333333333337</v>
      </c>
      <c r="P10" s="32">
        <f t="shared" si="7"/>
        <v>1.625</v>
      </c>
      <c r="W10" s="25">
        <f t="shared" si="0"/>
        <v>0.33333333333333331</v>
      </c>
      <c r="X10" s="25">
        <f t="shared" si="1"/>
        <v>0</v>
      </c>
      <c r="Y10" s="25">
        <f t="shared" si="2"/>
        <v>0</v>
      </c>
      <c r="Z10" s="25">
        <f t="shared" si="3"/>
        <v>0.31250000000000006</v>
      </c>
      <c r="AA10" s="25">
        <f t="shared" si="4"/>
        <v>0.33333333333333331</v>
      </c>
      <c r="AB10" s="25">
        <f t="shared" si="5"/>
        <v>0.33333333333333331</v>
      </c>
      <c r="AC10" s="25">
        <f t="shared" si="6"/>
        <v>0.31250000000000006</v>
      </c>
    </row>
    <row r="11" spans="1:29" x14ac:dyDescent="0.3">
      <c r="A11" s="28" t="s">
        <v>45</v>
      </c>
      <c r="B11" s="34">
        <v>0.39583333333333331</v>
      </c>
      <c r="C11" s="34">
        <v>0.70833333333333337</v>
      </c>
      <c r="D11" s="34">
        <v>0.39583333333333331</v>
      </c>
      <c r="E11" s="34">
        <v>0.72916666666666663</v>
      </c>
      <c r="F11" s="31"/>
      <c r="G11" s="31"/>
      <c r="H11" s="31"/>
      <c r="I11" s="31"/>
      <c r="J11" s="34">
        <v>0.375</v>
      </c>
      <c r="K11" s="34">
        <v>0.70833333333333337</v>
      </c>
      <c r="L11" s="34">
        <v>0.39583333333333331</v>
      </c>
      <c r="M11" s="34">
        <v>0.72916666666666663</v>
      </c>
      <c r="N11" s="34">
        <v>0.39583333333333331</v>
      </c>
      <c r="O11" s="34">
        <v>0.70833333333333337</v>
      </c>
      <c r="P11" s="32">
        <f t="shared" si="7"/>
        <v>1.625</v>
      </c>
      <c r="W11" s="25">
        <f t="shared" si="0"/>
        <v>0.31250000000000006</v>
      </c>
      <c r="X11" s="25">
        <f t="shared" si="1"/>
        <v>0.33333333333333331</v>
      </c>
      <c r="Y11" s="25">
        <f t="shared" si="2"/>
        <v>0</v>
      </c>
      <c r="Z11" s="25">
        <f t="shared" si="3"/>
        <v>0</v>
      </c>
      <c r="AA11" s="25">
        <f t="shared" si="4"/>
        <v>0.33333333333333337</v>
      </c>
      <c r="AB11" s="25">
        <f t="shared" si="5"/>
        <v>0.33333333333333331</v>
      </c>
      <c r="AC11" s="25">
        <f t="shared" si="6"/>
        <v>0.31250000000000006</v>
      </c>
    </row>
    <row r="12" spans="1:29" x14ac:dyDescent="0.3">
      <c r="A12" s="28" t="s">
        <v>14</v>
      </c>
      <c r="B12" s="31"/>
      <c r="C12" s="31"/>
      <c r="D12" s="14">
        <v>0.41666666666666669</v>
      </c>
      <c r="E12" s="14">
        <v>0.70833333333333337</v>
      </c>
      <c r="F12" s="14">
        <v>0.375</v>
      </c>
      <c r="G12" s="14">
        <v>0.75</v>
      </c>
      <c r="H12" s="14">
        <v>0.39583333333333331</v>
      </c>
      <c r="I12" s="14">
        <v>0.72916666666666663</v>
      </c>
      <c r="J12" s="14">
        <v>0.375</v>
      </c>
      <c r="K12" s="14">
        <v>0.70833333333333337</v>
      </c>
      <c r="L12" s="14">
        <v>0.41666666666666669</v>
      </c>
      <c r="M12" s="14">
        <v>0.70833333333333337</v>
      </c>
      <c r="N12" s="31"/>
      <c r="O12" s="31"/>
      <c r="P12" s="38">
        <f>W12+X12+Y12+Z12+AA12+AB12+AC12</f>
        <v>1.6250000000000002</v>
      </c>
      <c r="W12" s="25">
        <f t="shared" si="0"/>
        <v>0</v>
      </c>
      <c r="X12" s="25">
        <f t="shared" si="1"/>
        <v>0.29166666666666669</v>
      </c>
      <c r="Y12" s="25">
        <f t="shared" si="2"/>
        <v>0.375</v>
      </c>
      <c r="Z12" s="25">
        <f t="shared" si="3"/>
        <v>0.33333333333333331</v>
      </c>
      <c r="AA12" s="25">
        <f t="shared" si="4"/>
        <v>0.33333333333333337</v>
      </c>
      <c r="AB12" s="25">
        <f t="shared" si="5"/>
        <v>0.29166666666666669</v>
      </c>
      <c r="AC12" s="25">
        <f t="shared" si="6"/>
        <v>0</v>
      </c>
    </row>
    <row r="13" spans="1:29" x14ac:dyDescent="0.3">
      <c r="A13" s="35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51"/>
      <c r="W13" s="25">
        <f t="shared" si="0"/>
        <v>0</v>
      </c>
      <c r="X13" s="25">
        <f t="shared" si="1"/>
        <v>0</v>
      </c>
      <c r="Y13" s="25">
        <f t="shared" si="2"/>
        <v>0</v>
      </c>
      <c r="Z13" s="25">
        <f t="shared" si="3"/>
        <v>0</v>
      </c>
      <c r="AA13" s="25">
        <f t="shared" si="4"/>
        <v>0</v>
      </c>
      <c r="AB13" s="25">
        <f t="shared" si="5"/>
        <v>0</v>
      </c>
      <c r="AC13" s="25">
        <f t="shared" si="6"/>
        <v>0</v>
      </c>
    </row>
    <row r="14" spans="1:29" x14ac:dyDescent="0.3">
      <c r="A14" s="29" t="s">
        <v>16</v>
      </c>
      <c r="B14" s="31"/>
      <c r="C14" s="31"/>
      <c r="D14" s="37">
        <v>0.70833333333333337</v>
      </c>
      <c r="E14" s="37">
        <v>1.0625</v>
      </c>
      <c r="F14" s="37">
        <v>0.72916666666666663</v>
      </c>
      <c r="G14" s="37">
        <v>1.0625</v>
      </c>
      <c r="H14" s="37">
        <v>0.70833333333333304</v>
      </c>
      <c r="I14" s="37">
        <v>1.0625</v>
      </c>
      <c r="J14" s="37">
        <v>0.70833333333333304</v>
      </c>
      <c r="K14" s="37">
        <v>1.0625</v>
      </c>
      <c r="L14" s="37">
        <v>0.70833333333333304</v>
      </c>
      <c r="M14" s="37">
        <v>1.0625</v>
      </c>
      <c r="N14" s="31"/>
      <c r="O14" s="31"/>
      <c r="P14" s="38">
        <f t="shared" ref="P14:P19" si="8">W14+X14+Y14+Z14+AA14+AB14+AC14</f>
        <v>1.7500000000000009</v>
      </c>
      <c r="W14" s="25">
        <f t="shared" si="0"/>
        <v>0</v>
      </c>
      <c r="X14" s="25">
        <f t="shared" si="1"/>
        <v>0.35416666666666663</v>
      </c>
      <c r="Y14" s="25">
        <f t="shared" si="2"/>
        <v>0.33333333333333337</v>
      </c>
      <c r="Z14" s="25">
        <f t="shared" si="3"/>
        <v>0.35416666666666696</v>
      </c>
      <c r="AA14" s="25">
        <f t="shared" si="4"/>
        <v>0.35416666666666696</v>
      </c>
      <c r="AB14" s="25">
        <f t="shared" si="5"/>
        <v>0.35416666666666696</v>
      </c>
      <c r="AC14" s="25">
        <f t="shared" si="6"/>
        <v>0</v>
      </c>
    </row>
    <row r="15" spans="1:29" x14ac:dyDescent="0.3">
      <c r="A15" s="29" t="s">
        <v>17</v>
      </c>
      <c r="B15" s="31"/>
      <c r="C15" s="31"/>
      <c r="D15" s="31"/>
      <c r="E15" s="31"/>
      <c r="F15" s="31"/>
      <c r="G15" s="31"/>
      <c r="H15" s="37">
        <v>0.70833333333333337</v>
      </c>
      <c r="I15" s="37">
        <v>1.0625</v>
      </c>
      <c r="J15" s="37">
        <v>0.70833333333333304</v>
      </c>
      <c r="K15" s="37">
        <v>1.0625</v>
      </c>
      <c r="L15" s="37">
        <v>0.6875</v>
      </c>
      <c r="M15" s="37">
        <v>1.0625</v>
      </c>
      <c r="N15" s="37">
        <v>0.66666666666666663</v>
      </c>
      <c r="O15" s="37">
        <v>1.0208333333333333</v>
      </c>
      <c r="P15" s="38">
        <f t="shared" si="8"/>
        <v>1.4375</v>
      </c>
      <c r="W15" s="25">
        <f t="shared" si="0"/>
        <v>0</v>
      </c>
      <c r="X15" s="25">
        <f>E15-D15</f>
        <v>0</v>
      </c>
      <c r="Y15" s="25">
        <f t="shared" si="2"/>
        <v>0</v>
      </c>
      <c r="Z15" s="25">
        <f t="shared" si="3"/>
        <v>0.35416666666666663</v>
      </c>
      <c r="AA15" s="25">
        <f t="shared" si="4"/>
        <v>0.35416666666666696</v>
      </c>
      <c r="AB15" s="25">
        <f t="shared" si="5"/>
        <v>0.375</v>
      </c>
      <c r="AC15" s="25">
        <f t="shared" si="6"/>
        <v>0.35416666666666663</v>
      </c>
    </row>
    <row r="16" spans="1:29" x14ac:dyDescent="0.3">
      <c r="A16" s="29" t="s">
        <v>21</v>
      </c>
      <c r="B16" s="39"/>
      <c r="C16" s="39"/>
      <c r="D16" s="37">
        <v>0.70833333333333337</v>
      </c>
      <c r="E16" s="37">
        <v>1.0625</v>
      </c>
      <c r="F16" s="37">
        <v>0.70833333333333337</v>
      </c>
      <c r="G16" s="37">
        <v>1.0625</v>
      </c>
      <c r="H16" s="37">
        <v>0.72916666666666663</v>
      </c>
      <c r="I16" s="37">
        <v>1.0625</v>
      </c>
      <c r="J16" s="37">
        <v>0.70833333333333337</v>
      </c>
      <c r="K16" s="37">
        <v>1.0625</v>
      </c>
      <c r="L16" s="37">
        <v>0.70833333333333337</v>
      </c>
      <c r="M16" s="37">
        <v>1.0625</v>
      </c>
      <c r="N16" s="31"/>
      <c r="O16" s="31"/>
      <c r="P16" s="38">
        <f t="shared" si="8"/>
        <v>1.7499999999999996</v>
      </c>
      <c r="W16" s="25">
        <f t="shared" si="0"/>
        <v>0</v>
      </c>
      <c r="X16" s="25">
        <f t="shared" si="1"/>
        <v>0.35416666666666663</v>
      </c>
      <c r="Y16" s="25">
        <f t="shared" si="2"/>
        <v>0.35416666666666663</v>
      </c>
      <c r="Z16" s="25">
        <f t="shared" si="3"/>
        <v>0.33333333333333337</v>
      </c>
      <c r="AA16" s="25">
        <f t="shared" si="4"/>
        <v>0.35416666666666663</v>
      </c>
      <c r="AB16" s="25">
        <f t="shared" si="5"/>
        <v>0.35416666666666663</v>
      </c>
      <c r="AC16" s="25">
        <f t="shared" si="6"/>
        <v>0</v>
      </c>
    </row>
    <row r="17" spans="1:29" x14ac:dyDescent="0.3">
      <c r="A17" s="40" t="s">
        <v>18</v>
      </c>
      <c r="B17" s="37">
        <v>0.72916666666666663</v>
      </c>
      <c r="C17" s="37">
        <v>1.0208333333333299</v>
      </c>
      <c r="D17" s="37">
        <v>0.70833333333333337</v>
      </c>
      <c r="E17" s="37">
        <v>1.0625</v>
      </c>
      <c r="F17" s="37">
        <v>0.75</v>
      </c>
      <c r="G17" s="37">
        <v>1.0625</v>
      </c>
      <c r="H17" s="39"/>
      <c r="I17" s="39"/>
      <c r="J17" s="39"/>
      <c r="K17" s="39"/>
      <c r="L17" s="37">
        <v>0.70833333333333337</v>
      </c>
      <c r="M17" s="37">
        <v>1.0625</v>
      </c>
      <c r="N17" s="37">
        <v>0.70833333333333337</v>
      </c>
      <c r="O17" s="37">
        <v>1.0208333333333333</v>
      </c>
      <c r="P17" s="38">
        <f t="shared" si="8"/>
        <v>1.6249999999999964</v>
      </c>
      <c r="W17" s="25">
        <f t="shared" si="0"/>
        <v>0.2916666666666633</v>
      </c>
      <c r="X17" s="25">
        <f t="shared" si="1"/>
        <v>0.35416666666666663</v>
      </c>
      <c r="Y17" s="25">
        <f t="shared" si="2"/>
        <v>0.3125</v>
      </c>
      <c r="Z17" s="25">
        <f t="shared" si="3"/>
        <v>0</v>
      </c>
      <c r="AA17" s="25">
        <f t="shared" si="4"/>
        <v>0</v>
      </c>
      <c r="AB17" s="25">
        <f t="shared" si="5"/>
        <v>0.35416666666666663</v>
      </c>
      <c r="AC17" s="25">
        <f t="shared" si="6"/>
        <v>0.31249999999999989</v>
      </c>
    </row>
    <row r="18" spans="1:29" x14ac:dyDescent="0.3">
      <c r="A18" s="28" t="s">
        <v>26</v>
      </c>
      <c r="B18" s="57"/>
      <c r="C18" s="57"/>
      <c r="D18" s="31"/>
      <c r="E18" s="31"/>
      <c r="F18" s="31"/>
      <c r="G18" s="31"/>
      <c r="H18" s="37">
        <v>0.75</v>
      </c>
      <c r="I18" s="37">
        <v>1.0625</v>
      </c>
      <c r="J18" s="37">
        <v>0.70833333333333337</v>
      </c>
      <c r="K18" s="37">
        <v>1.0625</v>
      </c>
      <c r="L18" s="37">
        <v>0.70833333333333337</v>
      </c>
      <c r="M18" s="37">
        <v>1.0625</v>
      </c>
      <c r="N18" s="37">
        <v>0.70833333333333337</v>
      </c>
      <c r="O18" s="37">
        <v>1.0208333333333333</v>
      </c>
      <c r="P18" s="38">
        <f t="shared" si="8"/>
        <v>1.333333333333333</v>
      </c>
      <c r="W18" s="25">
        <f t="shared" si="0"/>
        <v>0</v>
      </c>
      <c r="X18" s="25">
        <f t="shared" si="1"/>
        <v>0</v>
      </c>
      <c r="Y18" s="25">
        <f t="shared" si="2"/>
        <v>0</v>
      </c>
      <c r="Z18" s="25">
        <f t="shared" si="3"/>
        <v>0.3125</v>
      </c>
      <c r="AA18" s="25">
        <f t="shared" si="4"/>
        <v>0.35416666666666663</v>
      </c>
      <c r="AB18" s="25">
        <f t="shared" si="5"/>
        <v>0.35416666666666663</v>
      </c>
      <c r="AC18" s="25">
        <f>O18-N18</f>
        <v>0.31249999999999989</v>
      </c>
    </row>
    <row r="19" spans="1:29" x14ac:dyDescent="0.3">
      <c r="A19" s="40" t="s">
        <v>46</v>
      </c>
      <c r="B19" s="39"/>
      <c r="C19" s="39"/>
      <c r="D19" s="37">
        <v>0.72916666666666663</v>
      </c>
      <c r="E19" s="37">
        <v>1.0625</v>
      </c>
      <c r="F19" s="37">
        <v>0.75</v>
      </c>
      <c r="G19" s="37">
        <v>1.0625</v>
      </c>
      <c r="H19" s="37">
        <v>0.75</v>
      </c>
      <c r="I19" s="37">
        <v>1.0625</v>
      </c>
      <c r="J19" s="37">
        <v>0.75</v>
      </c>
      <c r="K19" s="37">
        <v>1.0625</v>
      </c>
      <c r="L19" s="37">
        <v>0.70833333333333337</v>
      </c>
      <c r="M19" s="37">
        <v>1.0625</v>
      </c>
      <c r="N19" s="57"/>
      <c r="O19" s="57"/>
      <c r="P19" s="38">
        <f t="shared" si="8"/>
        <v>1.625</v>
      </c>
      <c r="W19" s="25">
        <f t="shared" si="0"/>
        <v>0</v>
      </c>
      <c r="X19" s="25">
        <f t="shared" si="1"/>
        <v>0.33333333333333337</v>
      </c>
      <c r="Y19" s="25">
        <f t="shared" si="2"/>
        <v>0.3125</v>
      </c>
      <c r="Z19" s="25">
        <f t="shared" si="3"/>
        <v>0.3125</v>
      </c>
      <c r="AA19" s="25">
        <f t="shared" si="4"/>
        <v>0.3125</v>
      </c>
      <c r="AB19" s="25">
        <f t="shared" si="5"/>
        <v>0.35416666666666663</v>
      </c>
      <c r="AC19" s="25">
        <f>O19-N19</f>
        <v>0</v>
      </c>
    </row>
    <row r="20" spans="1:29" ht="15" thickBot="1" x14ac:dyDescent="0.35">
      <c r="A20" s="52" t="e" cm="1">
        <f t="array" ref="A20">+A20:PA20:P+A20:P363628A1:P2A1:P47</f>
        <v>#NAME?</v>
      </c>
      <c r="B20" s="60" t="s">
        <v>0</v>
      </c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1"/>
      <c r="W20" s="25" t="e">
        <f t="shared" si="0"/>
        <v>#VALUE!</v>
      </c>
      <c r="X20" s="25">
        <f t="shared" si="1"/>
        <v>0</v>
      </c>
      <c r="Y20" s="25">
        <f t="shared" si="2"/>
        <v>0</v>
      </c>
      <c r="Z20" s="25">
        <f t="shared" si="3"/>
        <v>0</v>
      </c>
      <c r="AA20" s="25">
        <f t="shared" si="4"/>
        <v>0</v>
      </c>
      <c r="AB20" s="25">
        <f t="shared" si="5"/>
        <v>0</v>
      </c>
      <c r="AC20" s="25">
        <f t="shared" ref="AC20" si="9">O20-N20</f>
        <v>0</v>
      </c>
    </row>
    <row r="21" spans="1:29" ht="15" thickBot="1" x14ac:dyDescent="0.35">
      <c r="A21" s="53"/>
      <c r="B21" s="62" t="str">
        <f ca="1">B2</f>
        <v>SEMAINE 22</v>
      </c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3"/>
    </row>
    <row r="22" spans="1:29" x14ac:dyDescent="0.3">
      <c r="A22" s="23"/>
      <c r="B22" s="64" t="s">
        <v>1</v>
      </c>
      <c r="C22" s="65"/>
      <c r="D22" s="64" t="s">
        <v>2</v>
      </c>
      <c r="E22" s="65"/>
      <c r="F22" s="64" t="s">
        <v>3</v>
      </c>
      <c r="G22" s="65"/>
      <c r="H22" s="64" t="s">
        <v>4</v>
      </c>
      <c r="I22" s="65"/>
      <c r="J22" s="64" t="s">
        <v>5</v>
      </c>
      <c r="K22" s="65"/>
      <c r="L22" s="64" t="s">
        <v>6</v>
      </c>
      <c r="M22" s="65"/>
      <c r="N22" s="64" t="s">
        <v>7</v>
      </c>
      <c r="O22" s="65"/>
      <c r="P22" s="24" t="s">
        <v>8</v>
      </c>
    </row>
    <row r="23" spans="1:29" x14ac:dyDescent="0.3">
      <c r="A23" s="26"/>
      <c r="B23" s="58">
        <f>B4</f>
        <v>46167</v>
      </c>
      <c r="C23" s="59"/>
      <c r="D23" s="58">
        <f>D4</f>
        <v>46168</v>
      </c>
      <c r="E23" s="59"/>
      <c r="F23" s="58">
        <f>F4</f>
        <v>46169</v>
      </c>
      <c r="G23" s="59"/>
      <c r="H23" s="58">
        <f>H4</f>
        <v>46170</v>
      </c>
      <c r="I23" s="59"/>
      <c r="J23" s="58">
        <f>J4</f>
        <v>46171</v>
      </c>
      <c r="K23" s="59"/>
      <c r="L23" s="58">
        <f>L4</f>
        <v>46172</v>
      </c>
      <c r="M23" s="59"/>
      <c r="N23" s="58">
        <f>N4</f>
        <v>46173</v>
      </c>
      <c r="O23" s="59"/>
      <c r="P23" s="27"/>
    </row>
    <row r="24" spans="1:29" x14ac:dyDescent="0.3">
      <c r="A24" s="28" t="s">
        <v>9</v>
      </c>
      <c r="B24" s="58"/>
      <c r="C24" s="59"/>
      <c r="D24" s="58"/>
      <c r="E24" s="59"/>
      <c r="F24" s="58"/>
      <c r="G24" s="59"/>
      <c r="H24" s="58"/>
      <c r="I24" s="59"/>
      <c r="J24" s="58"/>
      <c r="K24" s="59"/>
      <c r="L24" s="58"/>
      <c r="M24" s="59"/>
      <c r="N24" s="58"/>
      <c r="O24" s="59"/>
      <c r="P24" s="27"/>
    </row>
    <row r="25" spans="1:29" x14ac:dyDescent="0.3">
      <c r="A25" s="29" t="s">
        <v>10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2"/>
    </row>
    <row r="26" spans="1:29" x14ac:dyDescent="0.3">
      <c r="A26" s="33" t="s">
        <v>12</v>
      </c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1"/>
      <c r="M26" s="31"/>
      <c r="N26" s="31"/>
      <c r="O26" s="31"/>
      <c r="P26" s="32"/>
    </row>
    <row r="27" spans="1:29" x14ac:dyDescent="0.3">
      <c r="A27" s="28" t="s">
        <v>36</v>
      </c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4"/>
      <c r="M27" s="34"/>
      <c r="N27" s="34"/>
      <c r="O27" s="34"/>
      <c r="P27" s="32"/>
    </row>
    <row r="28" spans="1:29" x14ac:dyDescent="0.3">
      <c r="A28" s="28" t="s">
        <v>37</v>
      </c>
      <c r="B28" s="34"/>
      <c r="C28" s="34"/>
      <c r="D28" s="34"/>
      <c r="E28" s="34"/>
      <c r="F28" s="34"/>
      <c r="G28" s="34"/>
      <c r="H28" s="31"/>
      <c r="I28" s="31"/>
      <c r="J28" s="31"/>
      <c r="K28" s="31"/>
      <c r="L28" s="34"/>
      <c r="M28" s="34"/>
      <c r="N28" s="34"/>
      <c r="O28" s="34"/>
      <c r="P28" s="32"/>
    </row>
    <row r="29" spans="1:29" x14ac:dyDescent="0.3">
      <c r="A29" s="28" t="s">
        <v>42</v>
      </c>
      <c r="B29" s="34"/>
      <c r="C29" s="34"/>
      <c r="D29" s="31"/>
      <c r="E29" s="31"/>
      <c r="F29" s="31"/>
      <c r="G29" s="31"/>
      <c r="H29" s="34"/>
      <c r="I29" s="34"/>
      <c r="J29" s="34"/>
      <c r="K29" s="34"/>
      <c r="L29" s="34"/>
      <c r="M29" s="34"/>
      <c r="N29" s="34"/>
      <c r="O29" s="34"/>
      <c r="P29" s="32"/>
    </row>
    <row r="30" spans="1:29" x14ac:dyDescent="0.3">
      <c r="A30" s="28" t="s">
        <v>45</v>
      </c>
      <c r="B30" s="34"/>
      <c r="C30" s="34"/>
      <c r="D30" s="34"/>
      <c r="E30" s="34"/>
      <c r="F30" s="31"/>
      <c r="G30" s="31"/>
      <c r="H30" s="31"/>
      <c r="I30" s="31"/>
      <c r="J30" s="34"/>
      <c r="K30" s="34"/>
      <c r="L30" s="34"/>
      <c r="M30" s="34"/>
      <c r="N30" s="34"/>
      <c r="O30" s="34"/>
      <c r="P30" s="32"/>
    </row>
    <row r="31" spans="1:29" x14ac:dyDescent="0.3">
      <c r="A31" s="28" t="s">
        <v>14</v>
      </c>
      <c r="B31" s="31"/>
      <c r="C31" s="31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31"/>
      <c r="O31" s="31"/>
      <c r="P31" s="38"/>
    </row>
    <row r="32" spans="1:29" x14ac:dyDescent="0.3">
      <c r="A32" s="35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51"/>
    </row>
    <row r="33" spans="1:16" x14ac:dyDescent="0.3">
      <c r="A33" s="29" t="s">
        <v>16</v>
      </c>
      <c r="B33" s="31"/>
      <c r="C33" s="31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1"/>
      <c r="O33" s="31"/>
      <c r="P33" s="38"/>
    </row>
    <row r="34" spans="1:16" x14ac:dyDescent="0.3">
      <c r="A34" s="29" t="s">
        <v>17</v>
      </c>
      <c r="B34" s="37"/>
      <c r="C34" s="37"/>
      <c r="D34" s="31"/>
      <c r="E34" s="31"/>
      <c r="F34" s="31"/>
      <c r="G34" s="31"/>
      <c r="H34" s="37"/>
      <c r="I34" s="37"/>
      <c r="J34" s="37"/>
      <c r="K34" s="37"/>
      <c r="L34" s="37"/>
      <c r="M34" s="37"/>
      <c r="N34" s="37"/>
      <c r="O34" s="37"/>
      <c r="P34" s="38"/>
    </row>
    <row r="35" spans="1:16" x14ac:dyDescent="0.3">
      <c r="A35" s="29" t="s">
        <v>21</v>
      </c>
      <c r="B35" s="39"/>
      <c r="C35" s="39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1"/>
      <c r="O35" s="31"/>
      <c r="P35" s="38"/>
    </row>
    <row r="36" spans="1:16" x14ac:dyDescent="0.3">
      <c r="A36" s="40" t="s">
        <v>18</v>
      </c>
      <c r="B36" s="37"/>
      <c r="C36" s="37"/>
      <c r="D36" s="37"/>
      <c r="E36" s="37"/>
      <c r="F36" s="37"/>
      <c r="G36" s="37"/>
      <c r="H36" s="39"/>
      <c r="I36" s="39"/>
      <c r="J36" s="39"/>
      <c r="K36" s="39"/>
      <c r="L36" s="37"/>
      <c r="M36" s="37"/>
      <c r="N36" s="37"/>
      <c r="O36" s="37"/>
      <c r="P36" s="38"/>
    </row>
    <row r="37" spans="1:16" x14ac:dyDescent="0.3">
      <c r="A37" s="28" t="s">
        <v>26</v>
      </c>
      <c r="B37" s="57"/>
      <c r="C37" s="57"/>
      <c r="D37" s="31"/>
      <c r="E37" s="31"/>
      <c r="F37" s="31"/>
      <c r="G37" s="31"/>
      <c r="H37" s="37"/>
      <c r="I37" s="37"/>
      <c r="J37" s="37"/>
      <c r="K37" s="37"/>
      <c r="L37" s="37"/>
      <c r="M37" s="37"/>
      <c r="N37" s="37"/>
      <c r="O37" s="37"/>
      <c r="P37" s="38"/>
    </row>
    <row r="38" spans="1:16" x14ac:dyDescent="0.3">
      <c r="A38" s="40" t="s">
        <v>46</v>
      </c>
      <c r="B38" s="39"/>
      <c r="C38" s="39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57"/>
      <c r="O38" s="57"/>
      <c r="P38" s="38"/>
    </row>
  </sheetData>
  <mergeCells count="46">
    <mergeCell ref="B1:P1"/>
    <mergeCell ref="B2:P2"/>
    <mergeCell ref="B3:C3"/>
    <mergeCell ref="D3:E3"/>
    <mergeCell ref="F3:G3"/>
    <mergeCell ref="H3:I3"/>
    <mergeCell ref="J3:K3"/>
    <mergeCell ref="L3:M3"/>
    <mergeCell ref="N3:O3"/>
    <mergeCell ref="N4:O4"/>
    <mergeCell ref="B5:C5"/>
    <mergeCell ref="D5:E5"/>
    <mergeCell ref="F5:G5"/>
    <mergeCell ref="H5:I5"/>
    <mergeCell ref="J5:K5"/>
    <mergeCell ref="L5:M5"/>
    <mergeCell ref="N5:O5"/>
    <mergeCell ref="B4:C4"/>
    <mergeCell ref="D4:E4"/>
    <mergeCell ref="F4:G4"/>
    <mergeCell ref="H4:I4"/>
    <mergeCell ref="J4:K4"/>
    <mergeCell ref="L4:M4"/>
    <mergeCell ref="B20:P20"/>
    <mergeCell ref="B21:P21"/>
    <mergeCell ref="B22:C22"/>
    <mergeCell ref="D22:E22"/>
    <mergeCell ref="F22:G22"/>
    <mergeCell ref="H22:I22"/>
    <mergeCell ref="J22:K22"/>
    <mergeCell ref="L22:M22"/>
    <mergeCell ref="N22:O22"/>
    <mergeCell ref="N23:O23"/>
    <mergeCell ref="B24:C24"/>
    <mergeCell ref="D24:E24"/>
    <mergeCell ref="F24:G24"/>
    <mergeCell ref="H24:I24"/>
    <mergeCell ref="J24:K24"/>
    <mergeCell ref="L24:M24"/>
    <mergeCell ref="N24:O24"/>
    <mergeCell ref="B23:C23"/>
    <mergeCell ref="D23:E23"/>
    <mergeCell ref="F23:G23"/>
    <mergeCell ref="H23:I23"/>
    <mergeCell ref="J23:K23"/>
    <mergeCell ref="L23:M23"/>
  </mergeCells>
  <pageMargins left="0.25" right="0.25" top="0.75" bottom="0.75" header="0.3" footer="0.3"/>
  <pageSetup paperSize="9" scale="4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22</vt:i4>
      </vt:variant>
      <vt:variant>
        <vt:lpstr>Plages nommées</vt:lpstr>
      </vt:variant>
      <vt:variant>
        <vt:i4>2</vt:i4>
      </vt:variant>
    </vt:vector>
  </HeadingPairs>
  <TitlesOfParts>
    <vt:vector size="24" baseType="lpstr">
      <vt:lpstr>SE 01</vt:lpstr>
      <vt:lpstr>SE 02</vt:lpstr>
      <vt:lpstr>SE 03</vt:lpstr>
      <vt:lpstr>SE 04</vt:lpstr>
      <vt:lpstr>SE 05</vt:lpstr>
      <vt:lpstr>SE 06</vt:lpstr>
      <vt:lpstr>SE 07</vt:lpstr>
      <vt:lpstr>SE 08</vt:lpstr>
      <vt:lpstr>SE 09</vt:lpstr>
      <vt:lpstr>SE 10</vt:lpstr>
      <vt:lpstr>SE 11</vt:lpstr>
      <vt:lpstr>SE 12</vt:lpstr>
      <vt:lpstr>SE 13</vt:lpstr>
      <vt:lpstr>SE 14</vt:lpstr>
      <vt:lpstr>SE 15</vt:lpstr>
      <vt:lpstr>SE 16</vt:lpstr>
      <vt:lpstr>SE 17</vt:lpstr>
      <vt:lpstr>SE 18</vt:lpstr>
      <vt:lpstr>SE 19</vt:lpstr>
      <vt:lpstr>SE 20</vt:lpstr>
      <vt:lpstr>SE 21</vt:lpstr>
      <vt:lpstr>SE 22</vt:lpstr>
      <vt:lpstr>'SE 13'!Zone_d_impression</vt:lpstr>
      <vt:lpstr>'SE 17'!Zone_d_impression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VERDIER</dc:creator>
  <cp:lastModifiedBy>Paul VERDIER</cp:lastModifiedBy>
  <cp:lastPrinted>2026-05-12T16:42:38Z</cp:lastPrinted>
  <dcterms:created xsi:type="dcterms:W3CDTF">2015-06-05T18:17:20Z</dcterms:created>
  <dcterms:modified xsi:type="dcterms:W3CDTF">2026-05-13T16:12:25Z</dcterms:modified>
</cp:coreProperties>
</file>